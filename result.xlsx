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ohuutridung/Desktop/20252/prj2/"/>
    </mc:Choice>
  </mc:AlternateContent>
  <xr:revisionPtr revIDLastSave="0" documentId="13_ncr:1_{B53B8623-FA98-2A49-95FD-A19371925153}" xr6:coauthVersionLast="47" xr6:coauthVersionMax="47" xr10:uidLastSave="{00000000-0000-0000-0000-000000000000}"/>
  <bookViews>
    <workbookView xWindow="0" yWindow="620" windowWidth="38400" windowHeight="20980" xr2:uid="{9B871735-C1A0-0349-AD53-57A6D15EDB9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2" l="1"/>
  <c r="E6" i="2"/>
  <c r="E5" i="2"/>
  <c r="E2" i="2"/>
  <c r="E3" i="2"/>
  <c r="E4" i="2"/>
  <c r="I50" i="1"/>
  <c r="H50" i="1"/>
  <c r="H51" i="1"/>
  <c r="H52" i="1"/>
  <c r="H53" i="1"/>
  <c r="I53" i="1" s="1"/>
  <c r="I59" i="1"/>
  <c r="H59" i="1"/>
  <c r="H60" i="1"/>
  <c r="H61" i="1"/>
  <c r="I56" i="1"/>
  <c r="H56" i="1"/>
  <c r="H57" i="1"/>
  <c r="H58" i="1"/>
  <c r="H54" i="1"/>
  <c r="H55" i="1"/>
  <c r="H47" i="1"/>
  <c r="I47" i="1" s="1"/>
  <c r="H48" i="1"/>
  <c r="H49" i="1"/>
  <c r="H44" i="1"/>
  <c r="I44" i="1" s="1"/>
  <c r="H45" i="1"/>
  <c r="H46" i="1"/>
  <c r="I41" i="1"/>
  <c r="H41" i="1"/>
  <c r="H42" i="1"/>
  <c r="H43" i="1"/>
  <c r="H38" i="1"/>
  <c r="I38" i="1" s="1"/>
  <c r="H39" i="1"/>
  <c r="H40" i="1"/>
  <c r="H35" i="1"/>
  <c r="H36" i="1"/>
  <c r="H37" i="1"/>
  <c r="H32" i="1"/>
  <c r="H33" i="1"/>
  <c r="H34" i="1"/>
  <c r="H29" i="1"/>
  <c r="H30" i="1"/>
  <c r="H31" i="1"/>
  <c r="H28" i="1"/>
  <c r="H27" i="1"/>
  <c r="H26" i="1"/>
  <c r="H23" i="1"/>
  <c r="H24" i="1"/>
  <c r="H25" i="1"/>
  <c r="H116" i="1"/>
  <c r="H115" i="1"/>
  <c r="H114" i="1"/>
  <c r="H112" i="1"/>
  <c r="H113" i="1"/>
  <c r="H111" i="1"/>
  <c r="H108" i="1"/>
  <c r="H109" i="1"/>
  <c r="H110" i="1"/>
  <c r="H20" i="1"/>
  <c r="H21" i="1"/>
  <c r="H22" i="1"/>
  <c r="L19" i="1"/>
  <c r="K19" i="1" a="1"/>
  <c r="K19" i="1" s="1"/>
  <c r="J19" i="1"/>
  <c r="H19" i="1"/>
  <c r="L18" i="1"/>
  <c r="K18" i="1" a="1"/>
  <c r="K18" i="1" s="1"/>
  <c r="J18" i="1"/>
  <c r="H18" i="1"/>
  <c r="L17" i="1"/>
  <c r="K17" i="1" a="1"/>
  <c r="K17" i="1" s="1"/>
  <c r="J17" i="1"/>
  <c r="H17" i="1"/>
  <c r="H105" i="1"/>
  <c r="H106" i="1"/>
  <c r="H107" i="1"/>
  <c r="H102" i="1"/>
  <c r="H103" i="1"/>
  <c r="H104" i="1"/>
  <c r="L22" i="1"/>
  <c r="L21" i="1"/>
  <c r="L2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2" i="1" a="1"/>
  <c r="K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I35" i="1" l="1"/>
  <c r="I32" i="1"/>
  <c r="I29" i="1"/>
  <c r="I26" i="1"/>
  <c r="I17" i="1"/>
  <c r="I114" i="1"/>
  <c r="I23" i="1"/>
  <c r="I20" i="1"/>
  <c r="I111" i="1"/>
  <c r="I108" i="1"/>
  <c r="I102" i="1"/>
  <c r="I105" i="1"/>
  <c r="I5" i="1"/>
  <c r="I14" i="1"/>
  <c r="I11" i="1"/>
  <c r="I8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<sst xmlns="http://schemas.openxmlformats.org/spreadsheetml/2006/main" count="128" uniqueCount="49">
  <si>
    <t>Model</t>
  </si>
  <si>
    <t>Dataset</t>
  </si>
  <si>
    <t>Bert (ref)</t>
  </si>
  <si>
    <t>Bert (doc)</t>
  </si>
  <si>
    <t>R1</t>
  </si>
  <si>
    <t>R2</t>
  </si>
  <si>
    <t>RL</t>
  </si>
  <si>
    <t>qwen3-1.7b</t>
  </si>
  <si>
    <t>CNN</t>
  </si>
  <si>
    <t>Arxiv</t>
  </si>
  <si>
    <t>MediaSum</t>
  </si>
  <si>
    <t>qwen3-1.7b-cnn</t>
  </si>
  <si>
    <t>qwen3-1.7b-mediasum</t>
  </si>
  <si>
    <t>qwen3-1.7b-arxiv</t>
  </si>
  <si>
    <t>epoch50-lr0-1-val32</t>
  </si>
  <si>
    <t>Avg</t>
  </si>
  <si>
    <t>NormAvg</t>
  </si>
  <si>
    <t>RelativeAvg</t>
  </si>
  <si>
    <t>HarmonicMean</t>
  </si>
  <si>
    <t>AvgAvg</t>
  </si>
  <si>
    <t>epoch50-lr0-1-val64</t>
  </si>
  <si>
    <t>BASELINES</t>
  </si>
  <si>
    <t>task_arithmetic (0.6)</t>
  </si>
  <si>
    <t>ties</t>
  </si>
  <si>
    <t>epoch50-lr0-1-val128</t>
  </si>
  <si>
    <t>linear</t>
  </si>
  <si>
    <t>dare_ties</t>
  </si>
  <si>
    <t>dare_linear</t>
  </si>
  <si>
    <t>epoch100-lr0-1-val64</t>
  </si>
  <si>
    <t>epoch100-lr0-1-val32</t>
  </si>
  <si>
    <t>epoch50-lr0-1-val16</t>
  </si>
  <si>
    <t>epoch50-lr0-1-val8</t>
  </si>
  <si>
    <t>epoch50-lr0-1-val4</t>
  </si>
  <si>
    <t>epoch50-lr0-1-val2</t>
  </si>
  <si>
    <t>epoch50-lr0-1-val1</t>
  </si>
  <si>
    <t>epoch40-lr0-1-val64</t>
  </si>
  <si>
    <t>epoch30-lr0-1-val64</t>
  </si>
  <si>
    <t>epoch10-lr0-1-val64</t>
  </si>
  <si>
    <t>epoch5-lr0-1-val64</t>
  </si>
  <si>
    <t>epoch1-lr0-1-val64</t>
  </si>
  <si>
    <t>epoch20-lr0-1-val64</t>
  </si>
  <si>
    <t>Task Arithmetic</t>
  </si>
  <si>
    <t>Ties</t>
  </si>
  <si>
    <t>Dare-Ties</t>
  </si>
  <si>
    <t>Dare-Linear</t>
  </si>
  <si>
    <t>ProDistill</t>
  </si>
  <si>
    <t>Individual</t>
  </si>
  <si>
    <t>Method</t>
  </si>
  <si>
    <t>epoch50-lr0-1-val64-layer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</si>
</sst>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4"/>
      <color theme="1"/>
      <name val="Aptos Narrow"/>
      <scheme val="minor"/>
    </font>
    <font>
      <sz val="14"/>
      <color rgb="FF006100"/>
      <name val="Aptos Narrow"/>
      <scheme val="minor"/>
    </font>
    <font>
      <b/>
      <sz val="14"/>
      <color theme="1"/>
      <name val="Aptos Narrow"/>
      <scheme val="minor"/>
    </font>
    <font>
      <b/>
      <sz val="14"/>
      <color rgb="FFFF0000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3" xfId="0" applyFont="1" applyBorder="1"/>
    <xf numFmtId="164" fontId="2" fillId="0" borderId="3" xfId="0" quotePrefix="1" applyNumberFormat="1" applyFont="1" applyBorder="1"/>
    <xf numFmtId="164" fontId="2" fillId="0" borderId="3" xfId="0" applyNumberFormat="1" applyFont="1" applyBorder="1"/>
    <xf numFmtId="164" fontId="2" fillId="0" borderId="0" xfId="0" quotePrefix="1" applyNumberFormat="1" applyFont="1"/>
    <xf numFmtId="164" fontId="2" fillId="0" borderId="0" xfId="0" applyNumberFormat="1" applyFont="1"/>
    <xf numFmtId="0" fontId="2" fillId="0" borderId="4" xfId="0" applyFont="1" applyBorder="1"/>
    <xf numFmtId="164" fontId="2" fillId="0" borderId="4" xfId="0" quotePrefix="1" applyNumberFormat="1" applyFont="1" applyBorder="1"/>
    <xf numFmtId="164" fontId="2" fillId="0" borderId="4" xfId="0" applyNumberFormat="1" applyFont="1" applyBorder="1"/>
    <xf numFmtId="0" fontId="3" fillId="2" borderId="3" xfId="1" applyFont="1" applyBorder="1"/>
    <xf numFmtId="164" fontId="3" fillId="2" borderId="3" xfId="1" quotePrefix="1" applyNumberFormat="1" applyFont="1" applyBorder="1"/>
    <xf numFmtId="164" fontId="3" fillId="2" borderId="3" xfId="1" applyNumberFormat="1" applyFont="1" applyBorder="1"/>
    <xf numFmtId="0" fontId="3" fillId="2" borderId="0" xfId="1" applyFont="1" applyBorder="1"/>
    <xf numFmtId="164" fontId="3" fillId="2" borderId="0" xfId="1" applyNumberFormat="1" applyFont="1" applyBorder="1"/>
    <xf numFmtId="0" fontId="3" fillId="2" borderId="4" xfId="1" applyFont="1" applyBorder="1"/>
    <xf numFmtId="164" fontId="3" fillId="2" borderId="4" xfId="1" applyNumberFormat="1" applyFont="1" applyBorder="1"/>
    <xf numFmtId="164" fontId="2" fillId="0" borderId="5" xfId="0" applyNumberFormat="1" applyFont="1" applyBorder="1"/>
    <xf numFmtId="1" fontId="2" fillId="0" borderId="0" xfId="0" applyNumberFormat="1" applyFont="1"/>
    <xf numFmtId="1" fontId="2" fillId="0" borderId="4" xfId="0" applyNumberFormat="1" applyFont="1" applyBorder="1"/>
    <xf numFmtId="164" fontId="2" fillId="0" borderId="0" xfId="0" applyNumberFormat="1" applyFont="1" applyAlignment="1">
      <alignment horizontal="right"/>
    </xf>
    <xf numFmtId="0" fontId="4" fillId="0" borderId="2" xfId="0" applyFont="1" applyBorder="1"/>
    <xf numFmtId="1" fontId="4" fillId="0" borderId="1" xfId="0" applyNumberFormat="1" applyFont="1" applyBorder="1"/>
    <xf numFmtId="0" fontId="4" fillId="0" borderId="1" xfId="0" applyFont="1" applyBorder="1"/>
    <xf numFmtId="1" fontId="2" fillId="0" borderId="3" xfId="0" applyNumberFormat="1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9" xfId="0" applyFont="1" applyBorder="1"/>
    <xf numFmtId="0" fontId="6" fillId="0" borderId="4" xfId="0" applyFont="1" applyBorder="1"/>
    <xf numFmtId="0" fontId="0" fillId="0" borderId="4" xfId="0" applyBorder="1"/>
    <xf numFmtId="0" fontId="6" fillId="0" borderId="9" xfId="0" applyFont="1" applyBorder="1"/>
    <xf numFmtId="0" fontId="0" fillId="0" borderId="8" xfId="0" applyBorder="1"/>
    <xf numFmtId="164" fontId="0" fillId="0" borderId="3" xfId="0" applyNumberFormat="1" applyBorder="1"/>
    <xf numFmtId="164" fontId="0" fillId="0" borderId="0" xfId="0" applyNumberFormat="1"/>
    <xf numFmtId="164" fontId="0" fillId="0" borderId="8" xfId="0" applyNumberFormat="1" applyBorder="1"/>
    <xf numFmtId="0" fontId="0" fillId="0" borderId="10" xfId="0" applyBorder="1"/>
    <xf numFmtId="164" fontId="0" fillId="0" borderId="5" xfId="0" applyNumberFormat="1" applyBorder="1"/>
    <xf numFmtId="164" fontId="0" fillId="0" borderId="5" xfId="0" quotePrefix="1" applyNumberFormat="1" applyBorder="1"/>
    <xf numFmtId="164" fontId="0" fillId="0" borderId="10" xfId="0" quotePrefix="1" applyNumberFormat="1" applyBorder="1"/>
    <xf numFmtId="0" fontId="0" fillId="0" borderId="5" xfId="0" applyBorder="1"/>
    <xf numFmtId="164" fontId="0" fillId="0" borderId="11" xfId="0" applyNumberFormat="1" applyBorder="1"/>
    <xf numFmtId="0" fontId="6" fillId="3" borderId="8" xfId="0" applyFont="1" applyFill="1" applyBorder="1"/>
    <xf numFmtId="164" fontId="6" fillId="3" borderId="0" xfId="0" applyNumberFormat="1" applyFont="1" applyFill="1"/>
    <xf numFmtId="0" fontId="6" fillId="3" borderId="0" xfId="0" applyFont="1" applyFill="1"/>
    <xf numFmtId="0" fontId="0" fillId="3" borderId="0" xfId="0" applyFill="1"/>
    <xf numFmtId="0" fontId="0" fillId="0" borderId="12" xfId="0" applyBorder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12700</xdr:rowOff>
    </xdr:from>
    <xdr:to>
      <xdr:col>8</xdr:col>
      <xdr:colOff>404183</xdr:colOff>
      <xdr:row>32</xdr:row>
      <xdr:rowOff>84666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B24A24-089A-7FEE-34E3-AAAC01B26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4700"/>
          <a:ext cx="7338383" cy="454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298809</xdr:colOff>
      <xdr:row>10</xdr:row>
      <xdr:rowOff>15522</xdr:rowOff>
    </xdr:from>
    <xdr:to>
      <xdr:col>17</xdr:col>
      <xdr:colOff>713658</xdr:colOff>
      <xdr:row>31</xdr:row>
      <xdr:rowOff>105832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E59715-38FB-6E0B-5447-E1E246EC2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509" y="2047522"/>
          <a:ext cx="7018849" cy="435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50A8-EE81-744A-9DC4-39BF3FFB4D15}">
  <dimension ref="A1:L140"/>
  <sheetViews>
    <sheetView tabSelected="1" zoomScale="110" zoomScaleNormal="110" workbookViewId="0">
      <selection activeCell="A144" sqref="A144"/>
    </sheetView>
  </sheetViews>
  <sheetFormatPr baseColWidth="10" defaultRowHeight="19" x14ac:dyDescent="0.25"/>
  <cols>
    <col min="1" max="1" width="26.83203125" style="26" customWidth="1"/>
    <col min="2" max="5" width="10.83203125" style="1"/>
    <col min="6" max="6" width="11.5" style="1" customWidth="1"/>
    <col min="7" max="7" width="10.83203125" style="1"/>
    <col min="8" max="9" width="10.83203125" style="18"/>
    <col min="10" max="11" width="10.83203125" style="1"/>
    <col min="12" max="12" width="13.6640625" style="1" bestFit="1" customWidth="1"/>
    <col min="13" max="16384" width="10.83203125" style="1"/>
  </cols>
  <sheetData>
    <row r="1" spans="1:12" x14ac:dyDescent="0.25">
      <c r="A1" s="21" t="s">
        <v>0</v>
      </c>
      <c r="B1" s="25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15</v>
      </c>
      <c r="I1" s="22" t="s">
        <v>19</v>
      </c>
      <c r="J1" s="23" t="s">
        <v>16</v>
      </c>
      <c r="K1" s="23" t="s">
        <v>17</v>
      </c>
      <c r="L1" s="23" t="s">
        <v>18</v>
      </c>
    </row>
    <row r="2" spans="1:12" s="2" customFormat="1" x14ac:dyDescent="0.25">
      <c r="A2" s="52" t="s">
        <v>7</v>
      </c>
      <c r="B2" s="2" t="s">
        <v>8</v>
      </c>
      <c r="C2" s="3">
        <v>0.83079999999999998</v>
      </c>
      <c r="D2" s="3">
        <v>0.83630000000000004</v>
      </c>
      <c r="E2" s="3">
        <v>0.24610000000000001</v>
      </c>
      <c r="F2" s="3">
        <v>7.8399999999999997E-2</v>
      </c>
      <c r="G2" s="3">
        <v>0.16389999999999999</v>
      </c>
      <c r="H2" s="4">
        <f>AVERAGE(C2:G2)</f>
        <v>0.43109999999999998</v>
      </c>
      <c r="I2" s="4">
        <f>AVERAGE(H2:H4)</f>
        <v>0.43650000000000005</v>
      </c>
      <c r="J2" s="4">
        <f>AVERAGE(
(C2-MIN($C$2:$C$16))/(MAX($C$2:$C$16)-MIN($C$2:$C$16)),
(D2-MIN($D$2:$D$16))/(MAX($D$2:$D$16)-MIN($D$2:$D$16)),
(E2-MIN($E$2:$E$16))/(MAX($E$2:$E$16)-MIN($E$2:$E$16)),
(F2-MIN($F$2:$F$16))/(MAX($F$2:$F$16)-MIN($F$2:$F$16)),
(G2-MIN($G$2:$G$16))/(MAX($G$2:$G$16)-MIN($G$2:$G$16))
)</f>
        <v>0.17187273844596201</v>
      </c>
      <c r="K2" s="2" cm="1">
        <f t="array" ref="K2">AVERAGE(
C2/INDEX($C$2:$C$4,MOD(ROW()-2,3)+1),
D2/INDEX($D$2:$D$4,MOD(ROW()-2,3)+1),
E2/INDEX($E$2:$E$4,MOD(ROW()-2,3)+1),
F2/INDEX($F$2:$F$4,MOD(ROW()-2,3)+1),
G2/INDEX($G$2:$G$4,MOD(ROW()-2,3)+1)
)</f>
        <v>1</v>
      </c>
      <c r="L2" s="4">
        <f>HARMEAN(C2:G2)</f>
        <v>0.1974787925658478</v>
      </c>
    </row>
    <row r="3" spans="1:12" x14ac:dyDescent="0.25">
      <c r="A3" s="53"/>
      <c r="B3" s="1" t="s">
        <v>9</v>
      </c>
      <c r="C3" s="5">
        <v>0.81330000000000002</v>
      </c>
      <c r="D3" s="5">
        <v>0.82930000000000004</v>
      </c>
      <c r="E3" s="5">
        <v>0.29770000000000002</v>
      </c>
      <c r="F3" s="5">
        <v>7.3300000000000004E-2</v>
      </c>
      <c r="G3" s="5">
        <v>0.1764</v>
      </c>
      <c r="H3" s="6">
        <f t="shared" ref="H3:H16" si="0">AVERAGE(C3:G3)</f>
        <v>0.43800000000000006</v>
      </c>
      <c r="I3" s="6"/>
      <c r="J3" s="4">
        <f t="shared" ref="J3:J16" si="1">AVERAGE(
(C3-MIN($C$2:$C$16))/(MAX($C$2:$C$16)-MIN($C$2:$C$16)),
(D3-MIN($D$2:$D$16))/(MAX($D$2:$D$16)-MIN($D$2:$D$16)),
(E3-MIN($E$2:$E$16))/(MAX($E$2:$E$16)-MIN($E$2:$E$16)),
(F3-MIN($F$2:$F$16))/(MAX($F$2:$F$16)-MIN($F$2:$F$16)),
(G3-MIN($G$2:$G$16))/(MAX($G$2:$G$16)-MIN($G$2:$G$16))
)</f>
        <v>0.18994228927146364</v>
      </c>
      <c r="K3" s="2" cm="1">
        <f t="array" ref="K3">AVERAGE(
C3/INDEX($C$2:$C$4,MOD(ROW()-2,3)+1),
D3/INDEX($D$2:$D$4,MOD(ROW()-2,3)+1),
E3/INDEX($E$2:$E$4,MOD(ROW()-2,3)+1),
F3/INDEX($F$2:$F$4,MOD(ROW()-2,3)+1),
G3/INDEX($G$2:$G$4,MOD(ROW()-2,3)+1)
)</f>
        <v>1</v>
      </c>
      <c r="L3" s="4">
        <f t="shared" ref="L3:L22" si="2">HARMEAN(C3:G3)</f>
        <v>0.19915573734946876</v>
      </c>
    </row>
    <row r="4" spans="1:12" s="7" customFormat="1" x14ac:dyDescent="0.25">
      <c r="A4" s="54"/>
      <c r="B4" s="7" t="s">
        <v>10</v>
      </c>
      <c r="C4" s="8">
        <v>0.83679999999999999</v>
      </c>
      <c r="D4" s="8">
        <v>0.83330000000000004</v>
      </c>
      <c r="E4" s="8">
        <v>0.26950000000000002</v>
      </c>
      <c r="F4" s="8">
        <v>8.7300000000000003E-2</v>
      </c>
      <c r="G4" s="8">
        <v>0.17510000000000001</v>
      </c>
      <c r="H4" s="9">
        <f t="shared" si="0"/>
        <v>0.44040000000000007</v>
      </c>
      <c r="I4" s="9"/>
      <c r="J4" s="4">
        <f t="shared" si="1"/>
        <v>0.33125688677960785</v>
      </c>
      <c r="K4" s="2" cm="1">
        <f t="array" ref="K4">AVERAGE(
C4/INDEX($C$2:$C$4,MOD(ROW()-2,3)+1),
D4/INDEX($D$2:$D$4,MOD(ROW()-2,3)+1),
E4/INDEX($E$2:$E$4,MOD(ROW()-2,3)+1),
F4/INDEX($F$2:$F$4,MOD(ROW()-2,3)+1),
G4/INDEX($G$2:$G$4,MOD(ROW()-2,3)+1)
)</f>
        <v>1</v>
      </c>
      <c r="L4" s="4">
        <f t="shared" si="2"/>
        <v>0.21485574667799787</v>
      </c>
    </row>
    <row r="5" spans="1:12" s="2" customFormat="1" x14ac:dyDescent="0.25">
      <c r="A5" s="52" t="s">
        <v>11</v>
      </c>
      <c r="B5" s="10" t="s">
        <v>8</v>
      </c>
      <c r="C5" s="11">
        <v>0.85009999999999997</v>
      </c>
      <c r="D5" s="12">
        <v>0.87009999999999998</v>
      </c>
      <c r="E5" s="12">
        <v>0.2863</v>
      </c>
      <c r="F5" s="12">
        <v>0.1069</v>
      </c>
      <c r="G5" s="12">
        <v>0.19320000000000001</v>
      </c>
      <c r="H5" s="4">
        <f t="shared" si="0"/>
        <v>0.46132000000000001</v>
      </c>
      <c r="I5" s="4">
        <f>AVERAGE(H5:H7)</f>
        <v>0.45612000000000003</v>
      </c>
      <c r="J5" s="4">
        <f t="shared" si="1"/>
        <v>0.7943374131323464</v>
      </c>
      <c r="K5" s="2" cm="1">
        <f t="array" ref="K5">AVERAGE(
C5/INDEX($C$2:$C$4,MOD(ROW()-2,3)+1),
D5/INDEX($D$2:$D$4,MOD(ROW()-2,3)+1),
E5/INDEX($E$2:$E$4,MOD(ROW()-2,3)+1),
F5/INDEX($F$2:$F$4,MOD(ROW()-2,3)+1),
G5/INDEX($G$2:$G$4,MOD(ROW()-2,3)+1)
)</f>
        <v>1.1538565842957171</v>
      </c>
      <c r="L5" s="4">
        <f t="shared" si="2"/>
        <v>0.24571249574397594</v>
      </c>
    </row>
    <row r="6" spans="1:12" x14ac:dyDescent="0.25">
      <c r="A6" s="53"/>
      <c r="B6" s="1" t="s">
        <v>9</v>
      </c>
      <c r="C6" s="6">
        <v>0.82509999999999994</v>
      </c>
      <c r="D6" s="6">
        <v>0.84440000000000004</v>
      </c>
      <c r="E6" s="6">
        <v>0.3362</v>
      </c>
      <c r="F6" s="6">
        <v>9.5500000000000002E-2</v>
      </c>
      <c r="G6" s="6">
        <v>0.187</v>
      </c>
      <c r="H6" s="6">
        <f t="shared" si="0"/>
        <v>0.45763999999999994</v>
      </c>
      <c r="I6" s="6"/>
      <c r="J6" s="4">
        <f t="shared" si="1"/>
        <v>0.57197582081971265</v>
      </c>
      <c r="K6" s="2" cm="1">
        <f t="array" ref="K6">AVERAGE(
C6/INDEX($C$2:$C$4,MOD(ROW()-2,3)+1),
D6/INDEX($D$2:$D$4,MOD(ROW()-2,3)+1),
E6/INDEX($E$2:$E$4,MOD(ROW()-2,3)+1),
F6/INDEX($F$2:$F$4,MOD(ROW()-2,3)+1),
G6/INDEX($G$2:$G$4,MOD(ROW()-2,3)+1)
)</f>
        <v>1.1049994767768974</v>
      </c>
      <c r="L6" s="4">
        <f t="shared" si="2"/>
        <v>0.23596631714797411</v>
      </c>
    </row>
    <row r="7" spans="1:12" s="7" customFormat="1" x14ac:dyDescent="0.25">
      <c r="A7" s="54"/>
      <c r="B7" s="7" t="s">
        <v>10</v>
      </c>
      <c r="C7" s="9">
        <v>0.84289999999999998</v>
      </c>
      <c r="D7" s="9">
        <v>0.85</v>
      </c>
      <c r="E7" s="9">
        <v>0.2762</v>
      </c>
      <c r="F7" s="9">
        <v>9.4100000000000003E-2</v>
      </c>
      <c r="G7" s="9">
        <v>0.18379999999999999</v>
      </c>
      <c r="H7" s="9">
        <f t="shared" si="0"/>
        <v>0.44939999999999997</v>
      </c>
      <c r="I7" s="9"/>
      <c r="J7" s="4">
        <f t="shared" si="1"/>
        <v>0.52942586754887933</v>
      </c>
      <c r="K7" s="2" cm="1">
        <f t="array" ref="K7">AVERAGE(
C7/INDEX($C$2:$C$4,MOD(ROW()-2,3)+1),
D7/INDEX($D$2:$D$4,MOD(ROW()-2,3)+1),
E7/INDEX($E$2:$E$4,MOD(ROW()-2,3)+1),
F7/INDEX($F$2:$F$4,MOD(ROW()-2,3)+1),
G7/INDEX($G$2:$G$4,MOD(ROW()-2,3)+1)
)</f>
        <v>1.0359539098213075</v>
      </c>
      <c r="L7" s="4">
        <f t="shared" si="2"/>
        <v>0.22674600948382809</v>
      </c>
    </row>
    <row r="8" spans="1:12" s="2" customFormat="1" x14ac:dyDescent="0.25">
      <c r="A8" s="46" t="s">
        <v>13</v>
      </c>
      <c r="B8" s="2" t="s">
        <v>8</v>
      </c>
      <c r="C8" s="4">
        <v>0.83620000000000005</v>
      </c>
      <c r="D8" s="4">
        <v>0.84960000000000002</v>
      </c>
      <c r="E8" s="4">
        <v>0.24349999999999999</v>
      </c>
      <c r="F8" s="4">
        <v>7.6799999999999993E-2</v>
      </c>
      <c r="G8" s="4">
        <v>0.15909999999999999</v>
      </c>
      <c r="H8" s="4">
        <f t="shared" si="0"/>
        <v>0.43303999999999998</v>
      </c>
      <c r="I8" s="4">
        <f>AVERAGE(H8:H10)</f>
        <v>0.43930000000000002</v>
      </c>
      <c r="J8" s="4">
        <f t="shared" si="1"/>
        <v>0.22738560435460883</v>
      </c>
      <c r="K8" s="2" cm="1">
        <f t="array" ref="K8">AVERAGE(
C8/INDEX($C$2:$C$4,MOD(ROW()-2,3)+1),
D8/INDEX($D$2:$D$4,MOD(ROW()-2,3)+1),
E8/INDEX($E$2:$E$4,MOD(ROW()-2,3)+1),
F8/INDEX($F$2:$F$4,MOD(ROW()-2,3)+1),
G8/INDEX($G$2:$G$4,MOD(ROW()-2,3)+1)
)</f>
        <v>0.99242880376241183</v>
      </c>
      <c r="L8" s="4">
        <f t="shared" si="2"/>
        <v>0.19390460659485667</v>
      </c>
    </row>
    <row r="9" spans="1:12" x14ac:dyDescent="0.25">
      <c r="A9" s="47"/>
      <c r="B9" s="13" t="s">
        <v>9</v>
      </c>
      <c r="C9" s="14">
        <v>0.83430000000000004</v>
      </c>
      <c r="D9" s="14">
        <v>0.84389999999999998</v>
      </c>
      <c r="E9" s="14">
        <v>0.31169999999999998</v>
      </c>
      <c r="F9" s="14">
        <v>0.10009999999999999</v>
      </c>
      <c r="G9" s="14">
        <v>0.1802</v>
      </c>
      <c r="H9" s="6">
        <f t="shared" si="0"/>
        <v>0.45404</v>
      </c>
      <c r="I9" s="6"/>
      <c r="J9" s="4">
        <f t="shared" si="1"/>
        <v>0.55793166918249593</v>
      </c>
      <c r="K9" s="2" cm="1">
        <f t="array" ref="K9">AVERAGE(
C9/INDEX($C$2:$C$4,MOD(ROW()-2,3)+1),
D9/INDEX($D$2:$D$4,MOD(ROW()-2,3)+1),
E9/INDEX($E$2:$E$4,MOD(ROW()-2,3)+1),
F9/INDEX($F$2:$F$4,MOD(ROW()-2,3)+1),
G9/INDEX($G$2:$G$4,MOD(ROW()-2,3)+1)
)</f>
        <v>1.0955231669963059</v>
      </c>
      <c r="L9" s="4">
        <f t="shared" si="2"/>
        <v>0.23661698230495409</v>
      </c>
    </row>
    <row r="10" spans="1:12" s="7" customFormat="1" x14ac:dyDescent="0.25">
      <c r="A10" s="48"/>
      <c r="B10" s="7" t="s">
        <v>10</v>
      </c>
      <c r="C10" s="9">
        <v>0.83960000000000001</v>
      </c>
      <c r="D10" s="9">
        <v>0.83379999999999999</v>
      </c>
      <c r="E10" s="9">
        <v>0.24640000000000001</v>
      </c>
      <c r="F10" s="9">
        <v>7.2599999999999998E-2</v>
      </c>
      <c r="G10" s="9">
        <v>0.16170000000000001</v>
      </c>
      <c r="H10" s="9">
        <f t="shared" si="0"/>
        <v>0.43082000000000004</v>
      </c>
      <c r="I10" s="9"/>
      <c r="J10" s="4">
        <f t="shared" si="1"/>
        <v>0.15741002309339119</v>
      </c>
      <c r="K10" s="2" cm="1">
        <f t="array" ref="K10">AVERAGE(
C10/INDEX($C$2:$C$4,MOD(ROW()-2,3)+1),
D10/INDEX($D$2:$D$4,MOD(ROW()-2,3)+1),
E10/INDEX($E$2:$E$4,MOD(ROW()-2,3)+1),
F10/INDEX($F$2:$F$4,MOD(ROW()-2,3)+1),
G10/INDEX($G$2:$G$4,MOD(ROW()-2,3)+1)
)</f>
        <v>0.93466384808189829</v>
      </c>
      <c r="L10" s="4">
        <f t="shared" si="2"/>
        <v>0.18934222981364809</v>
      </c>
    </row>
    <row r="11" spans="1:12" s="2" customFormat="1" x14ac:dyDescent="0.25">
      <c r="A11" s="46" t="s">
        <v>12</v>
      </c>
      <c r="B11" s="2" t="s">
        <v>8</v>
      </c>
      <c r="C11" s="4">
        <v>0.84499999999999997</v>
      </c>
      <c r="D11" s="4">
        <v>0.86629999999999996</v>
      </c>
      <c r="E11" s="4">
        <v>0.27810000000000001</v>
      </c>
      <c r="F11" s="4">
        <v>9.7500000000000003E-2</v>
      </c>
      <c r="G11" s="4">
        <v>0.188</v>
      </c>
      <c r="H11" s="4">
        <f t="shared" si="0"/>
        <v>0.45498000000000005</v>
      </c>
      <c r="I11" s="4">
        <f>AVERAGE(H11:H13)</f>
        <v>0.45474000000000009</v>
      </c>
      <c r="J11" s="4">
        <f t="shared" si="1"/>
        <v>0.6594660264656016</v>
      </c>
      <c r="K11" s="2" cm="1">
        <f t="array" ref="K11">AVERAGE(
C11/INDEX($C$2:$C$4,MOD(ROW()-2,3)+1),
D11/INDEX($D$2:$D$4,MOD(ROW()-2,3)+1),
E11/INDEX($E$2:$E$4,MOD(ROW()-2,3)+1),
F11/INDEX($F$2:$F$4,MOD(ROW()-2,3)+1),
G11/INDEX($G$2:$G$4,MOD(ROW()-2,3)+1)
)</f>
        <v>1.114731205094865</v>
      </c>
      <c r="L11" s="4">
        <f t="shared" si="2"/>
        <v>0.23245916047933224</v>
      </c>
    </row>
    <row r="12" spans="1:12" x14ac:dyDescent="0.25">
      <c r="A12" s="47"/>
      <c r="B12" s="1" t="s">
        <v>9</v>
      </c>
      <c r="C12" s="6">
        <v>0.81789999999999996</v>
      </c>
      <c r="D12" s="6">
        <v>0.83350000000000002</v>
      </c>
      <c r="E12" s="6">
        <v>0.31940000000000002</v>
      </c>
      <c r="F12" s="6">
        <v>8.6499999999999994E-2</v>
      </c>
      <c r="G12" s="6">
        <v>0.18290000000000001</v>
      </c>
      <c r="H12" s="6">
        <f t="shared" si="0"/>
        <v>0.44804000000000005</v>
      </c>
      <c r="I12" s="6"/>
      <c r="J12" s="4">
        <f t="shared" si="1"/>
        <v>0.38098005477190966</v>
      </c>
      <c r="K12" s="2" cm="1">
        <f t="array" ref="K12">AVERAGE(
C12/INDEX($C$2:$C$4,MOD(ROW()-2,3)+1),
D12/INDEX($D$2:$D$4,MOD(ROW()-2,3)+1),
E12/INDEX($E$2:$E$4,MOD(ROW()-2,3)+1),
F12/INDEX($F$2:$F$4,MOD(ROW()-2,3)+1),
G12/INDEX($G$2:$G$4,MOD(ROW()-2,3)+1)
)</f>
        <v>1.0601085166052422</v>
      </c>
      <c r="L12" s="4">
        <f t="shared" si="2"/>
        <v>0.22142081675107464</v>
      </c>
    </row>
    <row r="13" spans="1:12" s="7" customFormat="1" x14ac:dyDescent="0.25">
      <c r="A13" s="48"/>
      <c r="B13" s="15" t="s">
        <v>10</v>
      </c>
      <c r="C13" s="16">
        <v>0.85760000000000003</v>
      </c>
      <c r="D13" s="16">
        <v>0.83930000000000005</v>
      </c>
      <c r="E13" s="16">
        <v>0.29620000000000002</v>
      </c>
      <c r="F13" s="16">
        <v>0.1036</v>
      </c>
      <c r="G13" s="16">
        <v>0.20930000000000001</v>
      </c>
      <c r="H13" s="9">
        <f t="shared" si="0"/>
        <v>0.4612</v>
      </c>
      <c r="I13" s="9"/>
      <c r="J13" s="4">
        <f t="shared" si="1"/>
        <v>0.74347773321071386</v>
      </c>
      <c r="K13" s="2" cm="1">
        <f t="array" ref="K13">AVERAGE(
C13/INDEX($C$2:$C$4,MOD(ROW()-2,3)+1),
D13/INDEX($D$2:$D$4,MOD(ROW()-2,3)+1),
E13/INDEX($E$2:$E$4,MOD(ROW()-2,3)+1),
F13/INDEX($F$2:$F$4,MOD(ROW()-2,3)+1),
G13/INDEX($G$2:$G$4,MOD(ROW()-2,3)+1)
)</f>
        <v>1.1026317376405519</v>
      </c>
      <c r="L13" s="4">
        <f t="shared" si="2"/>
        <v>0.2479672684006286</v>
      </c>
    </row>
    <row r="14" spans="1:12" s="2" customFormat="1" x14ac:dyDescent="0.25">
      <c r="A14" s="46" t="s">
        <v>14</v>
      </c>
      <c r="B14" s="2" t="s">
        <v>8</v>
      </c>
      <c r="C14" s="3">
        <v>0.84709999999999996</v>
      </c>
      <c r="D14" s="4">
        <v>0.8669</v>
      </c>
      <c r="E14" s="4">
        <v>0.28270000000000001</v>
      </c>
      <c r="F14" s="4">
        <v>0.1018</v>
      </c>
      <c r="G14" s="4">
        <v>0.1933</v>
      </c>
      <c r="H14" s="4">
        <f t="shared" si="0"/>
        <v>0.45835999999999999</v>
      </c>
      <c r="I14" s="4">
        <f>AVERAGE(H14:H16)</f>
        <v>0.45291333333333333</v>
      </c>
      <c r="J14" s="4">
        <f t="shared" si="1"/>
        <v>0.72800092731764565</v>
      </c>
      <c r="K14" s="2" cm="1">
        <f t="array" ref="K14">AVERAGE(
C14/INDEX($C$2:$C$4,MOD(ROW()-2,3)+1),
D14/INDEX($D$2:$D$4,MOD(ROW()-2,3)+1),
E14/INDEX($E$2:$E$4,MOD(ROW()-2,3)+1),
F14/INDEX($F$2:$F$4,MOD(ROW()-2,3)+1),
G14/INDEX($G$2:$G$4,MOD(ROW()-2,3)+1)
)</f>
        <v>1.1365552947626805</v>
      </c>
      <c r="L14" s="4">
        <f t="shared" si="2"/>
        <v>0.23960312993093449</v>
      </c>
    </row>
    <row r="15" spans="1:12" x14ac:dyDescent="0.25">
      <c r="A15" s="47"/>
      <c r="B15" s="1" t="s">
        <v>9</v>
      </c>
      <c r="C15" s="6">
        <v>0.83250000000000002</v>
      </c>
      <c r="D15" s="6">
        <v>0.8427</v>
      </c>
      <c r="E15" s="6">
        <v>0.28989999999999999</v>
      </c>
      <c r="F15" s="6">
        <v>8.5800000000000001E-2</v>
      </c>
      <c r="G15" s="6">
        <v>0.16769999999999999</v>
      </c>
      <c r="H15" s="6">
        <f t="shared" si="0"/>
        <v>0.44372</v>
      </c>
      <c r="I15" s="6"/>
      <c r="J15" s="4">
        <f t="shared" si="1"/>
        <v>0.36370674318690682</v>
      </c>
      <c r="K15" s="2" cm="1">
        <f t="array" ref="K15">AVERAGE(
C15/INDEX($C$2:$C$4,MOD(ROW()-2,3)+1),
D15/INDEX($D$2:$D$4,MOD(ROW()-2,3)+1),
E15/INDEX($E$2:$E$4,MOD(ROW()-2,3)+1),
F15/INDEX($F$2:$F$4,MOD(ROW()-2,3)+1),
G15/INDEX($G$2:$G$4,MOD(ROW()-2,3)+1)
)</f>
        <v>1.0269554378775816</v>
      </c>
      <c r="L15" s="4">
        <f t="shared" si="2"/>
        <v>0.21317080665373331</v>
      </c>
    </row>
    <row r="16" spans="1:12" x14ac:dyDescent="0.25">
      <c r="A16" s="48"/>
      <c r="B16" s="1" t="s">
        <v>10</v>
      </c>
      <c r="C16" s="6">
        <v>0.85460000000000003</v>
      </c>
      <c r="D16" s="6">
        <v>0.83720000000000006</v>
      </c>
      <c r="E16" s="6">
        <v>0.2848</v>
      </c>
      <c r="F16" s="6">
        <v>0.1056</v>
      </c>
      <c r="G16" s="6">
        <v>0.2011</v>
      </c>
      <c r="H16" s="6">
        <f t="shared" si="0"/>
        <v>0.45666000000000001</v>
      </c>
      <c r="I16" s="6"/>
      <c r="J16" s="4">
        <f t="shared" si="1"/>
        <v>0.67403661312031249</v>
      </c>
      <c r="K16" s="2" cm="1">
        <f t="array" ref="K16">AVERAGE(
C16/INDEX($C$2:$C$4,MOD(ROW()-2,3)+1),
D16/INDEX($D$2:$D$4,MOD(ROW()-2,3)+1),
E16/INDEX($E$2:$E$4,MOD(ROW()-2,3)+1),
F16/INDEX($F$2:$F$4,MOD(ROW()-2,3)+1),
G16/INDEX($G$2:$G$4,MOD(ROW()-2,3)+1)
)</f>
        <v>1.0881664139154978</v>
      </c>
      <c r="L16" s="4">
        <f t="shared" si="2"/>
        <v>0.2460850436236536</v>
      </c>
    </row>
    <row r="17" spans="1:12" s="2" customFormat="1" x14ac:dyDescent="0.25">
      <c r="A17" s="49" t="s">
        <v>20</v>
      </c>
      <c r="B17" s="2" t="s">
        <v>8</v>
      </c>
      <c r="C17" s="4">
        <v>0.84699999999999998</v>
      </c>
      <c r="D17" s="4">
        <v>0.86629999999999996</v>
      </c>
      <c r="E17" s="4">
        <v>0.28389999999999999</v>
      </c>
      <c r="F17" s="4">
        <v>0.1033</v>
      </c>
      <c r="G17" s="4">
        <v>0.19570000000000001</v>
      </c>
      <c r="H17" s="17">
        <f t="shared" ref="H17:H22" si="3">AVERAGE(C17:G17)</f>
        <v>0.45923999999999998</v>
      </c>
      <c r="I17" s="4">
        <f>AVERAGE(H17:H19)</f>
        <v>0.45494666666666667</v>
      </c>
      <c r="J17" s="4">
        <f t="shared" ref="J17:J19" si="4">AVERAGE(
(C17-MIN($C$2:$C$16))/(MAX($C$2:$C$16)-MIN($C$2:$C$16)),
(D17-MIN($D$2:$D$16))/(MAX($D$2:$D$16)-MIN($D$2:$D$16)),
(E17-MIN($E$2:$E$16))/(MAX($E$2:$E$16)-MIN($E$2:$E$16)),
(F17-MIN($F$2:$F$16))/(MAX($F$2:$F$16)-MIN($F$2:$F$16)),
(G17-MIN($G$2:$G$16))/(MAX($G$2:$G$16)-MIN($G$2:$G$16))
)</f>
        <v>0.74550538901536734</v>
      </c>
      <c r="K17" s="2" cm="1">
        <f t="array" ref="K17">AVERAGE(
C17/INDEX($C$2:$C$4,MOD(ROW()-2,3)+1),
D17/INDEX($D$2:$D$4,MOD(ROW()-2,3)+1),
E17/INDEX($E$2:$E$4,MOD(ROW()-2,3)+1),
F17/INDEX($F$2:$F$4,MOD(ROW()-2,3)+1),
G17/INDEX($G$2:$G$4,MOD(ROW()-2,3)+1)
)</f>
        <v>1.1441180913509938</v>
      </c>
      <c r="L17" s="4">
        <f t="shared" ref="L17:L19" si="5">HARMEAN(C17:G17)</f>
        <v>0.24215721498644074</v>
      </c>
    </row>
    <row r="18" spans="1:12" x14ac:dyDescent="0.25">
      <c r="A18" s="50"/>
      <c r="B18" s="1" t="s">
        <v>9</v>
      </c>
      <c r="C18" s="6">
        <v>0.83299999999999996</v>
      </c>
      <c r="D18" s="6">
        <v>0.84330000000000005</v>
      </c>
      <c r="E18" s="6">
        <v>0.2974</v>
      </c>
      <c r="F18" s="6">
        <v>9.0399999999999994E-2</v>
      </c>
      <c r="G18" s="6">
        <v>0.17199999999999999</v>
      </c>
      <c r="H18" s="9">
        <f t="shared" si="3"/>
        <v>0.44722000000000001</v>
      </c>
      <c r="J18" s="6">
        <f t="shared" si="4"/>
        <v>0.42904011731206088</v>
      </c>
      <c r="K18" s="1" cm="1">
        <f t="array" ref="K18">AVERAGE(
C18/INDEX($C$2:$C$4,MOD(ROW()-2,3)+1),
D18/INDEX($D$2:$D$4,MOD(ROW()-2,3)+1),
E18/INDEX($E$2:$E$4,MOD(ROW()-2,3)+1),
F18/INDEX($F$2:$F$4,MOD(ROW()-2,3)+1),
G18/INDEX($G$2:$G$4,MOD(ROW()-2,3)+1)
)</f>
        <v>1.0496881666436191</v>
      </c>
      <c r="L18" s="6">
        <f t="shared" si="5"/>
        <v>0.22099766936475776</v>
      </c>
    </row>
    <row r="19" spans="1:12" s="7" customFormat="1" x14ac:dyDescent="0.25">
      <c r="A19" s="51"/>
      <c r="B19" s="7" t="s">
        <v>10</v>
      </c>
      <c r="C19" s="9">
        <v>0.85450000000000004</v>
      </c>
      <c r="D19" s="9">
        <v>0.83699999999999997</v>
      </c>
      <c r="E19" s="9">
        <v>0.28599999999999998</v>
      </c>
      <c r="F19" s="9">
        <v>0.1094</v>
      </c>
      <c r="G19" s="9">
        <v>0.20499999999999999</v>
      </c>
      <c r="H19" s="9">
        <f t="shared" si="3"/>
        <v>0.45838000000000001</v>
      </c>
      <c r="I19" s="19"/>
      <c r="J19" s="9">
        <f t="shared" si="4"/>
        <v>0.71288903346649035</v>
      </c>
      <c r="K19" s="7" cm="1">
        <f t="array" ref="K19">AVERAGE(
C19/INDEX($C$2:$C$4,MOD(ROW()-2,3)+1),
D19/INDEX($D$2:$D$4,MOD(ROW()-2,3)+1),
E19/INDEX($E$2:$E$4,MOD(ROW()-2,3)+1),
F19/INDEX($F$2:$F$4,MOD(ROW()-2,3)+1),
G19/INDEX($G$2:$G$4,MOD(ROW()-2,3)+1)
)</f>
        <v>1.1021452596574561</v>
      </c>
      <c r="L19" s="9">
        <f t="shared" si="5"/>
        <v>0.25150477512219899</v>
      </c>
    </row>
    <row r="20" spans="1:12" s="2" customFormat="1" x14ac:dyDescent="0.25">
      <c r="A20" s="46" t="s">
        <v>24</v>
      </c>
      <c r="B20" s="2" t="s">
        <v>8</v>
      </c>
      <c r="C20" s="4">
        <v>0.84550000000000003</v>
      </c>
      <c r="D20" s="4">
        <v>0.86309999999999998</v>
      </c>
      <c r="E20" s="4">
        <v>0.2752</v>
      </c>
      <c r="F20" s="4">
        <v>9.6500000000000002E-2</v>
      </c>
      <c r="G20" s="4">
        <v>0.1923</v>
      </c>
      <c r="H20" s="9">
        <f t="shared" si="3"/>
        <v>0.45451999999999992</v>
      </c>
      <c r="I20" s="4">
        <f>AVERAGE(H20:H22)</f>
        <v>0.44685333333333332</v>
      </c>
      <c r="J20" s="4"/>
      <c r="L20" s="4">
        <f t="shared" si="2"/>
        <v>0.23214815889431636</v>
      </c>
    </row>
    <row r="21" spans="1:12" x14ac:dyDescent="0.25">
      <c r="A21" s="47"/>
      <c r="B21" s="1" t="s">
        <v>9</v>
      </c>
      <c r="C21" s="6">
        <v>0.83109999999999995</v>
      </c>
      <c r="D21" s="6">
        <v>0.84089999999999998</v>
      </c>
      <c r="E21" s="6">
        <v>0.29239999999999999</v>
      </c>
      <c r="F21" s="6">
        <v>8.9399999999999993E-2</v>
      </c>
      <c r="G21" s="6">
        <v>0.17030000000000001</v>
      </c>
      <c r="H21" s="9">
        <f t="shared" si="3"/>
        <v>0.44481999999999999</v>
      </c>
      <c r="J21" s="6"/>
      <c r="L21" s="6">
        <f t="shared" si="2"/>
        <v>0.21862633153707017</v>
      </c>
    </row>
    <row r="22" spans="1:12" s="7" customFormat="1" x14ac:dyDescent="0.25">
      <c r="A22" s="48"/>
      <c r="B22" s="7" t="s">
        <v>10</v>
      </c>
      <c r="C22" s="9">
        <v>0.84750000000000003</v>
      </c>
      <c r="D22" s="9">
        <v>0.8306</v>
      </c>
      <c r="E22" s="9">
        <v>0.2525</v>
      </c>
      <c r="F22" s="9">
        <v>9.2600000000000002E-2</v>
      </c>
      <c r="G22" s="9">
        <v>0.18290000000000001</v>
      </c>
      <c r="H22" s="9">
        <f t="shared" si="3"/>
        <v>0.44122000000000006</v>
      </c>
      <c r="I22" s="19"/>
      <c r="J22" s="9"/>
      <c r="L22" s="9">
        <f t="shared" si="2"/>
        <v>0.22113237742996156</v>
      </c>
    </row>
    <row r="23" spans="1:12" s="2" customFormat="1" x14ac:dyDescent="0.25">
      <c r="A23" s="46" t="s">
        <v>28</v>
      </c>
      <c r="B23" s="2" t="s">
        <v>8</v>
      </c>
      <c r="C23" s="4">
        <v>0.84640000000000004</v>
      </c>
      <c r="D23" s="4">
        <v>0.86850000000000005</v>
      </c>
      <c r="E23" s="4">
        <v>0.27810000000000001</v>
      </c>
      <c r="F23" s="4">
        <v>0.1031</v>
      </c>
      <c r="G23" s="4">
        <v>0.19089999999999999</v>
      </c>
      <c r="H23" s="9">
        <f>AVERAGE(C23:G23)</f>
        <v>0.45740000000000008</v>
      </c>
      <c r="I23" s="6">
        <f>AVERAGE(H23:H25)</f>
        <v>0.45100666666666672</v>
      </c>
      <c r="L23" s="4"/>
    </row>
    <row r="24" spans="1:12" x14ac:dyDescent="0.25">
      <c r="A24" s="47"/>
      <c r="B24" s="1" t="s">
        <v>9</v>
      </c>
      <c r="C24" s="6">
        <v>0.83130000000000004</v>
      </c>
      <c r="D24" s="6">
        <v>0.84130000000000005</v>
      </c>
      <c r="E24" s="6">
        <v>0.29060000000000002</v>
      </c>
      <c r="F24" s="6">
        <v>8.8300000000000003E-2</v>
      </c>
      <c r="G24" s="6">
        <v>0.16880000000000001</v>
      </c>
      <c r="H24" s="9">
        <f>AVERAGE(C24:G24)</f>
        <v>0.44406000000000001</v>
      </c>
      <c r="I24" s="1"/>
      <c r="L24" s="6"/>
    </row>
    <row r="25" spans="1:12" s="7" customFormat="1" x14ac:dyDescent="0.25">
      <c r="A25" s="48"/>
      <c r="B25" s="7" t="s">
        <v>10</v>
      </c>
      <c r="C25" s="9">
        <v>0.8528</v>
      </c>
      <c r="D25" s="9">
        <v>0.8347</v>
      </c>
      <c r="E25" s="9">
        <v>0.27350000000000002</v>
      </c>
      <c r="F25" s="9">
        <v>0.1021</v>
      </c>
      <c r="G25" s="9">
        <v>0.19470000000000001</v>
      </c>
      <c r="H25" s="9">
        <f>AVERAGE(C25:G25)</f>
        <v>0.45156000000000002</v>
      </c>
      <c r="L25" s="9"/>
    </row>
    <row r="26" spans="1:12" s="2" customFormat="1" x14ac:dyDescent="0.25">
      <c r="A26" s="46" t="s">
        <v>29</v>
      </c>
      <c r="B26" s="2" t="s">
        <v>8</v>
      </c>
      <c r="C26" s="3">
        <v>0.84499999999999997</v>
      </c>
      <c r="D26" s="4">
        <v>0.86550000000000005</v>
      </c>
      <c r="E26" s="4">
        <v>0.27679999999999999</v>
      </c>
      <c r="F26" s="4">
        <v>9.7000000000000003E-2</v>
      </c>
      <c r="G26" s="4">
        <v>0.1883</v>
      </c>
      <c r="H26" s="4">
        <f t="shared" ref="H26:H39" si="6">AVERAGE(C26:G26)</f>
        <v>0.45452000000000004</v>
      </c>
      <c r="I26" s="4">
        <f>AVERAGE(H26:H28)</f>
        <v>0.45168666666666663</v>
      </c>
      <c r="L26" s="6"/>
    </row>
    <row r="27" spans="1:12" x14ac:dyDescent="0.25">
      <c r="A27" s="47"/>
      <c r="B27" s="1" t="s">
        <v>9</v>
      </c>
      <c r="C27" s="6">
        <v>0.8327</v>
      </c>
      <c r="D27" s="6">
        <v>0.84299999999999997</v>
      </c>
      <c r="E27" s="6">
        <v>0.2979</v>
      </c>
      <c r="F27" s="6">
        <v>9.2299999999999993E-2</v>
      </c>
      <c r="G27" s="6">
        <v>0.17249999999999999</v>
      </c>
      <c r="H27" s="6">
        <f t="shared" si="6"/>
        <v>0.44767999999999997</v>
      </c>
      <c r="I27" s="6"/>
      <c r="L27" s="6"/>
    </row>
    <row r="28" spans="1:12" s="7" customFormat="1" x14ac:dyDescent="0.25">
      <c r="A28" s="48"/>
      <c r="B28" s="1" t="s">
        <v>10</v>
      </c>
      <c r="C28" s="6">
        <v>0.85219999999999996</v>
      </c>
      <c r="D28" s="6">
        <v>0.8367</v>
      </c>
      <c r="E28" s="6">
        <v>0.27989999999999998</v>
      </c>
      <c r="F28" s="6">
        <v>0.1003</v>
      </c>
      <c r="G28" s="6">
        <v>0.19520000000000001</v>
      </c>
      <c r="H28" s="9">
        <f t="shared" si="6"/>
        <v>0.45285999999999993</v>
      </c>
      <c r="I28" s="6"/>
      <c r="L28" s="9"/>
    </row>
    <row r="29" spans="1:12" s="2" customFormat="1" x14ac:dyDescent="0.25">
      <c r="A29" s="46" t="s">
        <v>30</v>
      </c>
      <c r="B29" s="2" t="s">
        <v>8</v>
      </c>
      <c r="C29" s="3">
        <v>0.84630000000000005</v>
      </c>
      <c r="D29" s="4">
        <v>0.86570000000000003</v>
      </c>
      <c r="E29" s="4">
        <v>0.2792</v>
      </c>
      <c r="F29" s="4">
        <v>9.8799999999999999E-2</v>
      </c>
      <c r="G29" s="4">
        <v>0.1898</v>
      </c>
      <c r="H29" s="6">
        <f t="shared" si="6"/>
        <v>0.45595999999999998</v>
      </c>
      <c r="I29" s="4">
        <f>AVERAGE(H29:H31)</f>
        <v>0.45173333333333332</v>
      </c>
    </row>
    <row r="30" spans="1:12" x14ac:dyDescent="0.25">
      <c r="A30" s="47"/>
      <c r="B30" s="1" t="s">
        <v>9</v>
      </c>
      <c r="C30" s="6">
        <v>0.83189999999999997</v>
      </c>
      <c r="D30" s="6">
        <v>0.84160000000000001</v>
      </c>
      <c r="E30" s="6">
        <v>0.29060000000000002</v>
      </c>
      <c r="F30" s="6">
        <v>8.8099999999999998E-2</v>
      </c>
      <c r="G30" s="6">
        <v>0.16969999999999999</v>
      </c>
      <c r="H30" s="6">
        <f t="shared" si="6"/>
        <v>0.44438000000000005</v>
      </c>
      <c r="I30" s="1"/>
    </row>
    <row r="31" spans="1:12" s="7" customFormat="1" x14ac:dyDescent="0.25">
      <c r="A31" s="48"/>
      <c r="B31" s="1" t="s">
        <v>10</v>
      </c>
      <c r="C31" s="6">
        <v>0.85409999999999997</v>
      </c>
      <c r="D31" s="6">
        <v>0.8367</v>
      </c>
      <c r="E31" s="6">
        <v>0.28179999999999999</v>
      </c>
      <c r="F31" s="6">
        <v>0.10249999999999999</v>
      </c>
      <c r="G31" s="6">
        <v>0.19919999999999999</v>
      </c>
      <c r="H31" s="9">
        <f t="shared" si="6"/>
        <v>0.45485999999999993</v>
      </c>
    </row>
    <row r="32" spans="1:12" s="2" customFormat="1" x14ac:dyDescent="0.25">
      <c r="A32" s="46" t="s">
        <v>31</v>
      </c>
      <c r="B32" s="2" t="s">
        <v>8</v>
      </c>
      <c r="C32" s="3">
        <v>0.84619999999999995</v>
      </c>
      <c r="D32" s="4">
        <v>0.86619999999999997</v>
      </c>
      <c r="E32" s="4">
        <v>0.2787</v>
      </c>
      <c r="F32" s="4">
        <v>9.8799999999999999E-2</v>
      </c>
      <c r="G32" s="4">
        <v>0.19120000000000001</v>
      </c>
      <c r="H32" s="6">
        <f t="shared" si="6"/>
        <v>0.45621999999999996</v>
      </c>
      <c r="I32" s="4">
        <f>AVERAGE(H32:H34)</f>
        <v>0.45385999999999999</v>
      </c>
    </row>
    <row r="33" spans="1:9" x14ac:dyDescent="0.25">
      <c r="A33" s="47"/>
      <c r="B33" s="1" t="s">
        <v>9</v>
      </c>
      <c r="C33" s="6">
        <v>0.83260000000000001</v>
      </c>
      <c r="D33" s="6">
        <v>0.8417</v>
      </c>
      <c r="E33" s="6">
        <v>0.29239999999999999</v>
      </c>
      <c r="F33" s="6">
        <v>9.0800000000000006E-2</v>
      </c>
      <c r="G33" s="6">
        <v>0.1714</v>
      </c>
      <c r="H33" s="6">
        <f t="shared" si="6"/>
        <v>0.44578000000000007</v>
      </c>
    </row>
    <row r="34" spans="1:9" s="7" customFormat="1" x14ac:dyDescent="0.25">
      <c r="A34" s="48"/>
      <c r="B34" s="1" t="s">
        <v>10</v>
      </c>
      <c r="C34" s="6">
        <v>0.85560000000000003</v>
      </c>
      <c r="D34" s="6">
        <v>0.83679999999999999</v>
      </c>
      <c r="E34" s="6">
        <v>0.29139999999999999</v>
      </c>
      <c r="F34" s="6">
        <v>0.109</v>
      </c>
      <c r="G34" s="6">
        <v>0.2051</v>
      </c>
      <c r="H34" s="9">
        <f t="shared" si="6"/>
        <v>0.45957999999999999</v>
      </c>
      <c r="I34" s="19"/>
    </row>
    <row r="35" spans="1:9" s="2" customFormat="1" x14ac:dyDescent="0.25">
      <c r="A35" s="46" t="s">
        <v>32</v>
      </c>
      <c r="B35" s="2" t="s">
        <v>8</v>
      </c>
      <c r="C35" s="3">
        <v>0.84640000000000004</v>
      </c>
      <c r="D35" s="4">
        <v>0.86570000000000003</v>
      </c>
      <c r="E35" s="4">
        <v>0.27650000000000002</v>
      </c>
      <c r="F35" s="4">
        <v>9.8699999999999996E-2</v>
      </c>
      <c r="G35" s="4">
        <v>0.1893</v>
      </c>
      <c r="H35" s="6">
        <f t="shared" si="6"/>
        <v>0.45531999999999995</v>
      </c>
      <c r="I35" s="4">
        <f>AVERAGE(H35:H37)</f>
        <v>0.45468666666666663</v>
      </c>
    </row>
    <row r="36" spans="1:9" x14ac:dyDescent="0.25">
      <c r="A36" s="47"/>
      <c r="B36" s="1" t="s">
        <v>9</v>
      </c>
      <c r="C36" s="6">
        <v>0.83309999999999995</v>
      </c>
      <c r="D36" s="6">
        <v>0.84279999999999999</v>
      </c>
      <c r="E36" s="6">
        <v>0.2979</v>
      </c>
      <c r="F36" s="6">
        <v>9.1700000000000004E-2</v>
      </c>
      <c r="G36" s="6">
        <v>0.1729</v>
      </c>
      <c r="H36" s="6">
        <f t="shared" si="6"/>
        <v>0.44767999999999997</v>
      </c>
    </row>
    <row r="37" spans="1:9" s="7" customFormat="1" x14ac:dyDescent="0.25">
      <c r="A37" s="48"/>
      <c r="B37" s="7" t="s">
        <v>10</v>
      </c>
      <c r="C37" s="9">
        <v>0.85660000000000003</v>
      </c>
      <c r="D37" s="9">
        <v>0.83879999999999999</v>
      </c>
      <c r="E37" s="9">
        <v>0.29360000000000003</v>
      </c>
      <c r="F37" s="9">
        <v>0.1091</v>
      </c>
      <c r="G37" s="9">
        <v>0.2072</v>
      </c>
      <c r="H37" s="9">
        <f t="shared" si="6"/>
        <v>0.46105999999999997</v>
      </c>
      <c r="I37" s="19"/>
    </row>
    <row r="38" spans="1:9" x14ac:dyDescent="0.25">
      <c r="A38" s="46" t="s">
        <v>33</v>
      </c>
      <c r="B38" s="2" t="s">
        <v>8</v>
      </c>
      <c r="C38" s="3">
        <v>0.84560000000000002</v>
      </c>
      <c r="D38" s="4">
        <v>0.86499999999999999</v>
      </c>
      <c r="E38" s="4">
        <v>0.27639999999999998</v>
      </c>
      <c r="F38" s="4">
        <v>9.9299999999999999E-2</v>
      </c>
      <c r="G38" s="4">
        <v>0.18990000000000001</v>
      </c>
      <c r="H38" s="9">
        <f t="shared" si="6"/>
        <v>0.45524000000000003</v>
      </c>
      <c r="I38" s="6">
        <f>AVERAGE(H38:H40)</f>
        <v>0.45463999999999999</v>
      </c>
    </row>
    <row r="39" spans="1:9" x14ac:dyDescent="0.25">
      <c r="A39" s="47"/>
      <c r="B39" s="1" t="s">
        <v>9</v>
      </c>
      <c r="C39" s="6">
        <v>0.83379999999999999</v>
      </c>
      <c r="D39" s="6">
        <v>0.84240000000000004</v>
      </c>
      <c r="E39" s="6">
        <v>0.29980000000000001</v>
      </c>
      <c r="F39" s="6">
        <v>9.5299999999999996E-2</v>
      </c>
      <c r="G39" s="6">
        <v>0.1757</v>
      </c>
      <c r="H39" s="9">
        <f t="shared" si="6"/>
        <v>0.44940000000000008</v>
      </c>
      <c r="I39" s="1"/>
    </row>
    <row r="40" spans="1:9" s="7" customFormat="1" x14ac:dyDescent="0.25">
      <c r="A40" s="48"/>
      <c r="B40" s="7" t="s">
        <v>10</v>
      </c>
      <c r="C40" s="9">
        <v>0.85589999999999999</v>
      </c>
      <c r="D40" s="9">
        <v>0.83819999999999995</v>
      </c>
      <c r="E40" s="9">
        <v>0.28989999999999999</v>
      </c>
      <c r="F40" s="9">
        <v>0.1085</v>
      </c>
      <c r="G40" s="9">
        <v>0.2039</v>
      </c>
      <c r="H40" s="9">
        <f>AVERAGE(C40:G40)</f>
        <v>0.45927999999999997</v>
      </c>
    </row>
    <row r="41" spans="1:9" s="2" customFormat="1" x14ac:dyDescent="0.25">
      <c r="A41" s="46" t="s">
        <v>34</v>
      </c>
      <c r="B41" s="2" t="s">
        <v>8</v>
      </c>
      <c r="C41" s="3">
        <v>0.84619999999999995</v>
      </c>
      <c r="D41" s="4">
        <v>0.86509999999999998</v>
      </c>
      <c r="E41" s="4">
        <v>0.28199999999999997</v>
      </c>
      <c r="F41" s="4">
        <v>9.8799999999999999E-2</v>
      </c>
      <c r="G41" s="4">
        <v>0.19209999999999999</v>
      </c>
      <c r="H41" s="9">
        <f t="shared" ref="H41:H52" si="7">AVERAGE(C41:G41)</f>
        <v>0.45684000000000002</v>
      </c>
      <c r="I41" s="4">
        <f>AVERAGE(H41:H43)</f>
        <v>0.45272666666666667</v>
      </c>
    </row>
    <row r="42" spans="1:9" x14ac:dyDescent="0.25">
      <c r="A42" s="47"/>
      <c r="B42" s="1" t="s">
        <v>9</v>
      </c>
      <c r="C42" s="6">
        <v>0.83479999999999999</v>
      </c>
      <c r="D42" s="6">
        <v>0.84250000000000003</v>
      </c>
      <c r="E42" s="6">
        <v>0.29820000000000002</v>
      </c>
      <c r="F42" s="6">
        <v>9.4200000000000006E-2</v>
      </c>
      <c r="G42" s="6">
        <v>0.17249999999999999</v>
      </c>
      <c r="H42" s="9">
        <f t="shared" si="7"/>
        <v>0.44844000000000001</v>
      </c>
    </row>
    <row r="43" spans="1:9" s="7" customFormat="1" x14ac:dyDescent="0.25">
      <c r="A43" s="48"/>
      <c r="B43" s="7" t="s">
        <v>10</v>
      </c>
      <c r="C43" s="9">
        <v>0.85319999999999996</v>
      </c>
      <c r="D43" s="9">
        <v>0.83609999999999995</v>
      </c>
      <c r="E43" s="9">
        <v>0.27750000000000002</v>
      </c>
      <c r="F43" s="9">
        <v>0.10249999999999999</v>
      </c>
      <c r="G43" s="9">
        <v>0.19520000000000001</v>
      </c>
      <c r="H43" s="9">
        <f t="shared" si="7"/>
        <v>0.45289999999999991</v>
      </c>
      <c r="I43" s="19"/>
    </row>
    <row r="44" spans="1:9" s="2" customFormat="1" x14ac:dyDescent="0.25">
      <c r="A44" s="46" t="s">
        <v>35</v>
      </c>
      <c r="B44" s="2" t="s">
        <v>8</v>
      </c>
      <c r="C44" s="4">
        <v>0.84630000000000005</v>
      </c>
      <c r="D44" s="4">
        <v>0.86629999999999996</v>
      </c>
      <c r="E44" s="4">
        <v>0.27639999999999998</v>
      </c>
      <c r="F44" s="4">
        <v>9.6500000000000002E-2</v>
      </c>
      <c r="G44" s="4">
        <v>0.18909999999999999</v>
      </c>
      <c r="H44" s="9">
        <f t="shared" si="7"/>
        <v>0.45491999999999999</v>
      </c>
      <c r="I44" s="4">
        <f>AVERAGE(H44:H46)</f>
        <v>0.45244666666666666</v>
      </c>
    </row>
    <row r="45" spans="1:9" x14ac:dyDescent="0.25">
      <c r="A45" s="47"/>
      <c r="B45" s="1" t="s">
        <v>9</v>
      </c>
      <c r="C45" s="6">
        <v>0.83189999999999997</v>
      </c>
      <c r="D45" s="6">
        <v>0.84160000000000001</v>
      </c>
      <c r="E45" s="6">
        <v>0.29720000000000002</v>
      </c>
      <c r="F45" s="6">
        <v>9.1800000000000007E-2</v>
      </c>
      <c r="G45" s="6">
        <v>0.17069999999999999</v>
      </c>
      <c r="H45" s="9">
        <f t="shared" si="7"/>
        <v>0.44664000000000004</v>
      </c>
    </row>
    <row r="46" spans="1:9" s="7" customFormat="1" x14ac:dyDescent="0.25">
      <c r="A46" s="48"/>
      <c r="B46" s="7" t="s">
        <v>10</v>
      </c>
      <c r="C46" s="9">
        <v>0.85429999999999995</v>
      </c>
      <c r="D46" s="9">
        <v>0.83499999999999996</v>
      </c>
      <c r="E46" s="9">
        <v>0.28460000000000002</v>
      </c>
      <c r="F46" s="9">
        <v>0.1047</v>
      </c>
      <c r="G46" s="9">
        <v>0.20030000000000001</v>
      </c>
      <c r="H46" s="9">
        <f t="shared" si="7"/>
        <v>0.45577999999999996</v>
      </c>
      <c r="I46" s="19"/>
    </row>
    <row r="47" spans="1:9" s="2" customFormat="1" x14ac:dyDescent="0.25">
      <c r="A47" s="46" t="s">
        <v>36</v>
      </c>
      <c r="B47" s="2" t="s">
        <v>8</v>
      </c>
      <c r="C47" s="4">
        <v>0.84609999999999996</v>
      </c>
      <c r="D47" s="4">
        <v>0.86709999999999998</v>
      </c>
      <c r="E47" s="4">
        <v>0.28120000000000001</v>
      </c>
      <c r="F47" s="4">
        <v>9.9900000000000003E-2</v>
      </c>
      <c r="G47" s="4">
        <v>0.1913</v>
      </c>
      <c r="H47" s="9">
        <f t="shared" si="7"/>
        <v>0.45712000000000003</v>
      </c>
      <c r="I47" s="4">
        <f>AVERAGE(H47:H49)</f>
        <v>0.45104000000000005</v>
      </c>
    </row>
    <row r="48" spans="1:9" x14ac:dyDescent="0.25">
      <c r="A48" s="47"/>
      <c r="B48" s="1" t="s">
        <v>9</v>
      </c>
      <c r="C48" s="6">
        <v>0.83169999999999999</v>
      </c>
      <c r="D48" s="6">
        <v>0.84150000000000003</v>
      </c>
      <c r="E48" s="6">
        <v>0.2913</v>
      </c>
      <c r="F48" s="6">
        <v>8.8099999999999998E-2</v>
      </c>
      <c r="G48" s="6">
        <v>0.1694</v>
      </c>
      <c r="H48" s="9">
        <f t="shared" si="7"/>
        <v>0.44440000000000002</v>
      </c>
    </row>
    <row r="49" spans="1:9" s="7" customFormat="1" x14ac:dyDescent="0.25">
      <c r="A49" s="48"/>
      <c r="B49" s="7" t="s">
        <v>10</v>
      </c>
      <c r="C49" s="9">
        <v>0.85319999999999996</v>
      </c>
      <c r="D49" s="9">
        <v>0.83609999999999995</v>
      </c>
      <c r="E49" s="9">
        <v>0.27610000000000001</v>
      </c>
      <c r="F49" s="9">
        <v>9.9500000000000005E-2</v>
      </c>
      <c r="G49" s="9">
        <v>0.19309999999999999</v>
      </c>
      <c r="H49" s="9">
        <f t="shared" si="7"/>
        <v>0.45159999999999989</v>
      </c>
      <c r="I49" s="19"/>
    </row>
    <row r="50" spans="1:9" s="2" customFormat="1" x14ac:dyDescent="0.25">
      <c r="A50" s="46" t="s">
        <v>40</v>
      </c>
      <c r="B50" s="2" t="s">
        <v>8</v>
      </c>
      <c r="C50" s="4">
        <v>0.84530000000000005</v>
      </c>
      <c r="D50" s="4">
        <v>0.86499999999999999</v>
      </c>
      <c r="E50" s="4">
        <v>0.27600000000000002</v>
      </c>
      <c r="F50" s="4">
        <v>9.7199999999999995E-2</v>
      </c>
      <c r="G50" s="4">
        <v>0.18779999999999999</v>
      </c>
      <c r="H50" s="9">
        <f t="shared" si="7"/>
        <v>0.45426000000000011</v>
      </c>
      <c r="I50" s="4">
        <f>AVERAGE(H50:H52)</f>
        <v>0.44946000000000003</v>
      </c>
    </row>
    <row r="51" spans="1:9" x14ac:dyDescent="0.25">
      <c r="A51" s="47"/>
      <c r="B51" s="1" t="s">
        <v>9</v>
      </c>
      <c r="C51" s="6">
        <v>0.8327</v>
      </c>
      <c r="D51" s="6">
        <v>0.8427</v>
      </c>
      <c r="E51" s="6">
        <v>0.2954</v>
      </c>
      <c r="F51" s="6">
        <v>8.9700000000000002E-2</v>
      </c>
      <c r="G51" s="6">
        <v>0.1706</v>
      </c>
      <c r="H51" s="9">
        <f t="shared" si="7"/>
        <v>0.44622000000000001</v>
      </c>
    </row>
    <row r="52" spans="1:9" s="7" customFormat="1" x14ac:dyDescent="0.25">
      <c r="A52" s="48"/>
      <c r="B52" s="7" t="s">
        <v>10</v>
      </c>
      <c r="C52" s="9">
        <v>0.85099999999999998</v>
      </c>
      <c r="D52" s="9">
        <v>0.83260000000000001</v>
      </c>
      <c r="E52" s="9">
        <v>0.26490000000000002</v>
      </c>
      <c r="F52" s="9">
        <v>9.9900000000000003E-2</v>
      </c>
      <c r="G52" s="9">
        <v>0.19109999999999999</v>
      </c>
      <c r="H52" s="9">
        <f t="shared" si="7"/>
        <v>0.44790000000000002</v>
      </c>
      <c r="I52" s="19"/>
    </row>
    <row r="53" spans="1:9" s="2" customFormat="1" x14ac:dyDescent="0.25">
      <c r="A53" s="46" t="s">
        <v>37</v>
      </c>
      <c r="B53" s="2" t="s">
        <v>8</v>
      </c>
      <c r="C53" s="4">
        <v>0.84670000000000001</v>
      </c>
      <c r="D53" s="4">
        <v>0.86650000000000005</v>
      </c>
      <c r="E53" s="4">
        <v>0.28120000000000001</v>
      </c>
      <c r="F53" s="4">
        <v>0.10100000000000001</v>
      </c>
      <c r="G53" s="4">
        <v>0.19409999999999999</v>
      </c>
      <c r="H53" s="4">
        <f>AVERAGE(C53:G53)</f>
        <v>0.45790000000000008</v>
      </c>
      <c r="I53" s="4">
        <f>AVERAGE(H53:H55)</f>
        <v>0.45233333333333342</v>
      </c>
    </row>
    <row r="54" spans="1:9" x14ac:dyDescent="0.25">
      <c r="A54" s="47"/>
      <c r="B54" s="1" t="s">
        <v>9</v>
      </c>
      <c r="C54" s="6">
        <v>0.83220000000000005</v>
      </c>
      <c r="D54" s="6">
        <v>0.84199999999999997</v>
      </c>
      <c r="E54" s="6">
        <v>0.2944</v>
      </c>
      <c r="F54" s="6">
        <v>9.0800000000000006E-2</v>
      </c>
      <c r="G54" s="6">
        <v>0.17130000000000001</v>
      </c>
      <c r="H54" s="4">
        <f t="shared" ref="H54:H61" si="8">AVERAGE(C54:G54)</f>
        <v>0.44614000000000004</v>
      </c>
    </row>
    <row r="55" spans="1:9" s="7" customFormat="1" x14ac:dyDescent="0.25">
      <c r="A55" s="48"/>
      <c r="B55" s="7" t="s">
        <v>10</v>
      </c>
      <c r="C55" s="9">
        <v>0.85289999999999999</v>
      </c>
      <c r="D55" s="9">
        <v>0.8347</v>
      </c>
      <c r="E55" s="9">
        <v>0.27560000000000001</v>
      </c>
      <c r="F55" s="9">
        <v>0.1043</v>
      </c>
      <c r="G55" s="9">
        <v>0.1973</v>
      </c>
      <c r="H55" s="4">
        <f t="shared" si="8"/>
        <v>0.45295999999999992</v>
      </c>
      <c r="I55" s="19"/>
    </row>
    <row r="56" spans="1:9" s="2" customFormat="1" x14ac:dyDescent="0.25">
      <c r="A56" s="46" t="s">
        <v>38</v>
      </c>
      <c r="B56" s="2" t="s">
        <v>8</v>
      </c>
      <c r="C56" s="4">
        <v>0.84589999999999999</v>
      </c>
      <c r="D56" s="4">
        <v>0.86650000000000005</v>
      </c>
      <c r="E56" s="4">
        <v>0.2752</v>
      </c>
      <c r="F56" s="4">
        <v>9.5100000000000004E-2</v>
      </c>
      <c r="G56" s="4">
        <v>0.18920000000000001</v>
      </c>
      <c r="H56" s="4">
        <f t="shared" si="8"/>
        <v>0.45438000000000001</v>
      </c>
      <c r="I56" s="4">
        <f>AVERAGE(H56:H58)</f>
        <v>0.45065333333333335</v>
      </c>
    </row>
    <row r="57" spans="1:9" x14ac:dyDescent="0.25">
      <c r="A57" s="47"/>
      <c r="B57" s="1" t="s">
        <v>9</v>
      </c>
      <c r="C57" s="6">
        <v>0.83240000000000003</v>
      </c>
      <c r="D57" s="6">
        <v>0.84250000000000003</v>
      </c>
      <c r="E57" s="6">
        <v>0.29260000000000003</v>
      </c>
      <c r="F57" s="6">
        <v>9.0200000000000002E-2</v>
      </c>
      <c r="G57" s="6">
        <v>0.17</v>
      </c>
      <c r="H57" s="4">
        <f t="shared" si="8"/>
        <v>0.44553999999999999</v>
      </c>
    </row>
    <row r="58" spans="1:9" s="7" customFormat="1" x14ac:dyDescent="0.25">
      <c r="A58" s="48"/>
      <c r="B58" s="7" t="s">
        <v>10</v>
      </c>
      <c r="C58" s="9">
        <v>0.85189999999999999</v>
      </c>
      <c r="D58" s="9">
        <v>0.83479999999999999</v>
      </c>
      <c r="E58" s="9">
        <v>0.27389999999999998</v>
      </c>
      <c r="F58" s="9">
        <v>0.1028</v>
      </c>
      <c r="G58" s="9">
        <v>0.1968</v>
      </c>
      <c r="H58" s="4">
        <f t="shared" si="8"/>
        <v>0.45204000000000005</v>
      </c>
      <c r="I58" s="19"/>
    </row>
    <row r="59" spans="1:9" s="2" customFormat="1" x14ac:dyDescent="0.25">
      <c r="A59" s="46" t="s">
        <v>39</v>
      </c>
      <c r="B59" s="2" t="s">
        <v>8</v>
      </c>
      <c r="C59" s="4">
        <v>0.84609999999999996</v>
      </c>
      <c r="D59" s="4">
        <v>0.86309999999999998</v>
      </c>
      <c r="E59" s="4">
        <v>0.28039999999999998</v>
      </c>
      <c r="F59" s="4">
        <v>9.4399999999999998E-2</v>
      </c>
      <c r="G59" s="4">
        <v>0.19309999999999999</v>
      </c>
      <c r="H59" s="4">
        <f t="shared" si="8"/>
        <v>0.45541999999999999</v>
      </c>
      <c r="I59" s="4">
        <f>AVERAGE(H59:H61)</f>
        <v>0.45117333333333337</v>
      </c>
    </row>
    <row r="60" spans="1:9" x14ac:dyDescent="0.25">
      <c r="A60" s="47"/>
      <c r="B60" s="1" t="s">
        <v>9</v>
      </c>
      <c r="C60" s="6">
        <v>0.83109999999999995</v>
      </c>
      <c r="D60" s="6">
        <v>0.8417</v>
      </c>
      <c r="E60" s="6">
        <v>0.2792</v>
      </c>
      <c r="F60" s="6">
        <v>8.5500000000000007E-2</v>
      </c>
      <c r="G60" s="6">
        <v>0.1666</v>
      </c>
      <c r="H60" s="4">
        <f t="shared" si="8"/>
        <v>0.44081999999999999</v>
      </c>
    </row>
    <row r="61" spans="1:9" s="7" customFormat="1" x14ac:dyDescent="0.25">
      <c r="A61" s="48"/>
      <c r="B61" s="7" t="s">
        <v>10</v>
      </c>
      <c r="C61" s="9">
        <v>0.8538</v>
      </c>
      <c r="D61" s="9">
        <v>0.83720000000000006</v>
      </c>
      <c r="E61" s="9">
        <v>0.2853</v>
      </c>
      <c r="F61" s="9">
        <v>0.1057</v>
      </c>
      <c r="G61" s="9">
        <v>0.2044</v>
      </c>
      <c r="H61" s="4">
        <f t="shared" si="8"/>
        <v>0.45728000000000008</v>
      </c>
      <c r="I61" s="19"/>
    </row>
    <row r="62" spans="1:9" s="2" customFormat="1" x14ac:dyDescent="0.25">
      <c r="A62" s="46" t="s">
        <v>48</v>
      </c>
      <c r="B62" s="2" t="s">
        <v>8</v>
      </c>
      <c r="C62" s="4"/>
      <c r="D62" s="4"/>
      <c r="E62" s="4"/>
      <c r="F62" s="4"/>
      <c r="G62" s="4"/>
      <c r="H62" s="4"/>
      <c r="I62" s="4"/>
    </row>
    <row r="63" spans="1:9" x14ac:dyDescent="0.25">
      <c r="A63" s="47"/>
      <c r="B63" s="1" t="s">
        <v>9</v>
      </c>
      <c r="C63" s="6"/>
      <c r="D63" s="6"/>
      <c r="E63" s="6"/>
      <c r="F63" s="6"/>
      <c r="G63" s="6"/>
      <c r="H63" s="4"/>
    </row>
    <row r="64" spans="1:9" s="7" customFormat="1" x14ac:dyDescent="0.25">
      <c r="A64" s="48"/>
      <c r="B64" s="7" t="s">
        <v>10</v>
      </c>
      <c r="C64" s="9"/>
      <c r="D64" s="9"/>
      <c r="E64" s="9"/>
      <c r="F64" s="9"/>
      <c r="G64" s="9"/>
      <c r="H64" s="4"/>
      <c r="I64" s="19"/>
    </row>
    <row r="65" spans="1:9" s="2" customFormat="1" x14ac:dyDescent="0.25">
      <c r="A65" s="25"/>
      <c r="H65" s="24"/>
      <c r="I65" s="24"/>
    </row>
    <row r="67" spans="1:9" s="7" customFormat="1" x14ac:dyDescent="0.25">
      <c r="A67" s="27"/>
      <c r="H67" s="19"/>
      <c r="I67" s="19"/>
    </row>
    <row r="68" spans="1:9" s="2" customFormat="1" x14ac:dyDescent="0.25">
      <c r="A68" s="25"/>
      <c r="H68" s="24"/>
      <c r="I68" s="24"/>
    </row>
    <row r="70" spans="1:9" s="7" customFormat="1" x14ac:dyDescent="0.25">
      <c r="A70" s="27"/>
      <c r="H70" s="19"/>
      <c r="I70" s="19"/>
    </row>
    <row r="71" spans="1:9" s="2" customFormat="1" x14ac:dyDescent="0.25">
      <c r="A71" s="25"/>
      <c r="H71" s="24"/>
      <c r="I71" s="24"/>
    </row>
    <row r="73" spans="1:9" s="7" customFormat="1" x14ac:dyDescent="0.25">
      <c r="A73" s="27"/>
      <c r="H73" s="19"/>
      <c r="I73" s="19"/>
    </row>
    <row r="74" spans="1:9" s="2" customFormat="1" x14ac:dyDescent="0.25">
      <c r="A74" s="25"/>
      <c r="H74" s="24"/>
      <c r="I74" s="24"/>
    </row>
    <row r="76" spans="1:9" s="7" customFormat="1" x14ac:dyDescent="0.25">
      <c r="A76" s="27"/>
      <c r="H76" s="19"/>
      <c r="I76" s="19"/>
    </row>
    <row r="77" spans="1:9" s="2" customFormat="1" x14ac:dyDescent="0.25">
      <c r="A77" s="25"/>
      <c r="H77" s="24"/>
      <c r="I77" s="24"/>
    </row>
    <row r="79" spans="1:9" s="7" customFormat="1" x14ac:dyDescent="0.25">
      <c r="A79" s="27"/>
      <c r="H79" s="19"/>
      <c r="I79" s="19"/>
    </row>
    <row r="80" spans="1:9" s="2" customFormat="1" x14ac:dyDescent="0.25">
      <c r="A80" s="25"/>
      <c r="H80" s="24"/>
      <c r="I80" s="24"/>
    </row>
    <row r="82" spans="1:9" s="7" customFormat="1" x14ac:dyDescent="0.25">
      <c r="A82" s="27"/>
      <c r="H82" s="19"/>
      <c r="I82" s="19"/>
    </row>
    <row r="83" spans="1:9" s="2" customFormat="1" x14ac:dyDescent="0.25">
      <c r="A83" s="25"/>
      <c r="H83" s="24"/>
      <c r="I83" s="24"/>
    </row>
    <row r="85" spans="1:9" s="7" customFormat="1" x14ac:dyDescent="0.25">
      <c r="A85" s="27"/>
      <c r="H85" s="19"/>
      <c r="I85" s="19"/>
    </row>
    <row r="86" spans="1:9" s="2" customFormat="1" x14ac:dyDescent="0.25">
      <c r="A86" s="25"/>
      <c r="H86" s="24"/>
      <c r="I86" s="24"/>
    </row>
    <row r="88" spans="1:9" s="7" customFormat="1" x14ac:dyDescent="0.25">
      <c r="A88" s="27"/>
      <c r="H88" s="19"/>
      <c r="I88" s="19"/>
    </row>
    <row r="89" spans="1:9" s="2" customFormat="1" x14ac:dyDescent="0.25">
      <c r="A89" s="25"/>
      <c r="H89" s="24"/>
      <c r="I89" s="24"/>
    </row>
    <row r="91" spans="1:9" s="7" customFormat="1" x14ac:dyDescent="0.25">
      <c r="A91" s="27"/>
      <c r="H91" s="19"/>
      <c r="I91" s="19"/>
    </row>
    <row r="92" spans="1:9" s="2" customFormat="1" x14ac:dyDescent="0.25">
      <c r="A92" s="25"/>
      <c r="H92" s="24"/>
      <c r="I92" s="24"/>
    </row>
    <row r="94" spans="1:9" s="7" customFormat="1" x14ac:dyDescent="0.25">
      <c r="A94" s="27"/>
      <c r="H94" s="19"/>
      <c r="I94" s="19"/>
    </row>
    <row r="95" spans="1:9" s="2" customFormat="1" x14ac:dyDescent="0.25">
      <c r="A95" s="25"/>
      <c r="H95" s="24"/>
      <c r="I95" s="24"/>
    </row>
    <row r="97" spans="1:9" s="7" customFormat="1" x14ac:dyDescent="0.25">
      <c r="A97" s="27"/>
      <c r="H97" s="19"/>
      <c r="I97" s="19"/>
    </row>
    <row r="98" spans="1:9" s="2" customFormat="1" x14ac:dyDescent="0.25">
      <c r="A98" s="25"/>
      <c r="H98" s="24"/>
      <c r="I98" s="24"/>
    </row>
    <row r="100" spans="1:9" s="7" customFormat="1" x14ac:dyDescent="0.25">
      <c r="A100" s="27"/>
      <c r="H100" s="19"/>
      <c r="I100" s="19"/>
    </row>
    <row r="101" spans="1:9" x14ac:dyDescent="0.25">
      <c r="A101" s="26" t="s">
        <v>21</v>
      </c>
    </row>
    <row r="102" spans="1:9" s="2" customFormat="1" x14ac:dyDescent="0.25">
      <c r="A102" s="46" t="s">
        <v>22</v>
      </c>
      <c r="B102" s="2" t="s">
        <v>8</v>
      </c>
      <c r="C102" s="4">
        <v>0.84150000000000003</v>
      </c>
      <c r="D102" s="4">
        <v>0.8528</v>
      </c>
      <c r="E102" s="4">
        <v>0.25119999999999998</v>
      </c>
      <c r="F102" s="4">
        <v>8.5699999999999998E-2</v>
      </c>
      <c r="G102" s="4">
        <v>0.1845</v>
      </c>
      <c r="H102" s="4">
        <f t="shared" ref="H102:H116" si="9">AVERAGE(C102:G102)</f>
        <v>0.44313999999999998</v>
      </c>
      <c r="I102" s="4">
        <f>AVERAGE(H102:H104)</f>
        <v>0.43842666666666669</v>
      </c>
    </row>
    <row r="103" spans="1:9" x14ac:dyDescent="0.25">
      <c r="A103" s="47"/>
      <c r="B103" s="1" t="s">
        <v>9</v>
      </c>
      <c r="C103" s="6">
        <v>0.83479999999999999</v>
      </c>
      <c r="D103" s="6">
        <v>0.8377</v>
      </c>
      <c r="E103" s="6">
        <v>0.246</v>
      </c>
      <c r="F103" s="6">
        <v>8.9899999999999994E-2</v>
      </c>
      <c r="G103" s="6">
        <v>0.15590000000000001</v>
      </c>
      <c r="H103" s="6">
        <f t="shared" si="9"/>
        <v>0.43285999999999997</v>
      </c>
    </row>
    <row r="104" spans="1:9" s="7" customFormat="1" x14ac:dyDescent="0.25">
      <c r="A104" s="48"/>
      <c r="B104" s="7" t="s">
        <v>10</v>
      </c>
      <c r="C104" s="9">
        <v>0.84599999999999997</v>
      </c>
      <c r="D104" s="9">
        <v>0.8357</v>
      </c>
      <c r="E104" s="9">
        <v>0.2404</v>
      </c>
      <c r="F104" s="9">
        <v>9.2399999999999996E-2</v>
      </c>
      <c r="G104" s="9">
        <v>0.18190000000000001</v>
      </c>
      <c r="H104" s="9">
        <f t="shared" si="9"/>
        <v>0.43928</v>
      </c>
      <c r="I104" s="19"/>
    </row>
    <row r="105" spans="1:9" s="2" customFormat="1" x14ac:dyDescent="0.25">
      <c r="A105" s="46" t="s">
        <v>23</v>
      </c>
      <c r="B105" s="2" t="s">
        <v>8</v>
      </c>
      <c r="C105" s="4">
        <v>0.84619999999999995</v>
      </c>
      <c r="D105" s="4">
        <v>0.85929999999999995</v>
      </c>
      <c r="E105" s="4">
        <v>0.28370000000000001</v>
      </c>
      <c r="F105" s="4">
        <v>9.7299999999999998E-2</v>
      </c>
      <c r="G105" s="4">
        <v>0.20219999999999999</v>
      </c>
      <c r="H105" s="6">
        <f t="shared" si="9"/>
        <v>0.45773999999999998</v>
      </c>
      <c r="I105" s="4">
        <f>AVERAGE(H105:H107)</f>
        <v>0.44994666666666666</v>
      </c>
    </row>
    <row r="106" spans="1:9" x14ac:dyDescent="0.25">
      <c r="A106" s="47"/>
      <c r="B106" s="1" t="s">
        <v>9</v>
      </c>
      <c r="C106" s="6">
        <v>0.83799999999999997</v>
      </c>
      <c r="D106" s="6">
        <v>0.84079999999999999</v>
      </c>
      <c r="E106" s="6">
        <v>0.27110000000000001</v>
      </c>
      <c r="F106" s="6">
        <v>0.1009</v>
      </c>
      <c r="G106" s="6">
        <v>0.16850000000000001</v>
      </c>
      <c r="H106" s="6">
        <f t="shared" si="9"/>
        <v>0.44386000000000003</v>
      </c>
    </row>
    <row r="107" spans="1:9" s="7" customFormat="1" x14ac:dyDescent="0.25">
      <c r="A107" s="48"/>
      <c r="B107" s="7" t="s">
        <v>10</v>
      </c>
      <c r="C107" s="9">
        <v>0.85029999999999994</v>
      </c>
      <c r="D107" s="9">
        <v>0.83809999999999996</v>
      </c>
      <c r="E107" s="9">
        <v>0.26179999999999998</v>
      </c>
      <c r="F107" s="9">
        <v>9.7799999999999998E-2</v>
      </c>
      <c r="G107" s="9">
        <v>0.19320000000000001</v>
      </c>
      <c r="H107" s="9">
        <f t="shared" si="9"/>
        <v>0.44824000000000003</v>
      </c>
      <c r="I107" s="19"/>
    </row>
    <row r="108" spans="1:9" s="2" customFormat="1" x14ac:dyDescent="0.25">
      <c r="A108" s="46" t="s">
        <v>25</v>
      </c>
      <c r="B108" s="2" t="s">
        <v>8</v>
      </c>
      <c r="C108" s="4">
        <v>0.84330000000000005</v>
      </c>
      <c r="D108" s="4">
        <v>0.86509999999999998</v>
      </c>
      <c r="E108" s="4">
        <v>0.26450000000000001</v>
      </c>
      <c r="F108" s="4">
        <v>9.4200000000000006E-2</v>
      </c>
      <c r="G108" s="4">
        <v>0.17630000000000001</v>
      </c>
      <c r="H108" s="4">
        <f t="shared" si="9"/>
        <v>0.44867999999999997</v>
      </c>
      <c r="I108" s="4">
        <f>AVERAGE(H108:H110)</f>
        <v>0.45449999999999996</v>
      </c>
    </row>
    <row r="109" spans="1:9" x14ac:dyDescent="0.25">
      <c r="A109" s="47"/>
      <c r="B109" s="1" t="s">
        <v>9</v>
      </c>
      <c r="C109" s="6">
        <v>0.82930000000000004</v>
      </c>
      <c r="D109" s="6">
        <v>0.84470000000000001</v>
      </c>
      <c r="E109" s="6">
        <v>0.33479999999999999</v>
      </c>
      <c r="F109" s="6">
        <v>9.8000000000000004E-2</v>
      </c>
      <c r="G109" s="6">
        <v>0.18779999999999999</v>
      </c>
      <c r="H109" s="6">
        <f t="shared" si="9"/>
        <v>0.45891999999999999</v>
      </c>
    </row>
    <row r="110" spans="1:9" s="7" customFormat="1" x14ac:dyDescent="0.25">
      <c r="A110" s="48"/>
      <c r="B110" s="7" t="s">
        <v>10</v>
      </c>
      <c r="C110" s="9">
        <v>0.85140000000000005</v>
      </c>
      <c r="D110" s="9">
        <v>0.84540000000000004</v>
      </c>
      <c r="E110" s="9">
        <v>0.28649999999999998</v>
      </c>
      <c r="F110" s="9">
        <v>0.1027</v>
      </c>
      <c r="G110" s="9">
        <v>0.19350000000000001</v>
      </c>
      <c r="H110" s="9">
        <f t="shared" si="9"/>
        <v>0.45589999999999992</v>
      </c>
      <c r="I110" s="19"/>
    </row>
    <row r="111" spans="1:9" s="2" customFormat="1" x14ac:dyDescent="0.25">
      <c r="A111" s="46" t="s">
        <v>26</v>
      </c>
      <c r="B111" s="2" t="s">
        <v>8</v>
      </c>
      <c r="C111" s="4">
        <v>0.84009999999999996</v>
      </c>
      <c r="D111" s="4">
        <v>0.85160000000000002</v>
      </c>
      <c r="E111" s="4">
        <v>0.2445</v>
      </c>
      <c r="F111" s="4">
        <v>8.3900000000000002E-2</v>
      </c>
      <c r="G111" s="4">
        <v>0.18179999999999999</v>
      </c>
      <c r="H111" s="4">
        <f t="shared" si="9"/>
        <v>0.44037999999999994</v>
      </c>
      <c r="I111" s="6">
        <f>AVERAGE(H111:H113)</f>
        <v>0.4349533333333333</v>
      </c>
    </row>
    <row r="112" spans="1:9" x14ac:dyDescent="0.25">
      <c r="A112" s="47"/>
      <c r="B112" s="1" t="s">
        <v>9</v>
      </c>
      <c r="C112" s="6">
        <v>0.8327</v>
      </c>
      <c r="D112" s="6">
        <v>0.83560000000000001</v>
      </c>
      <c r="E112" s="6">
        <v>0.2329</v>
      </c>
      <c r="F112" s="6">
        <v>8.5400000000000004E-2</v>
      </c>
      <c r="G112" s="6">
        <v>0.14879999999999999</v>
      </c>
      <c r="H112" s="6">
        <f t="shared" si="9"/>
        <v>0.42707999999999996</v>
      </c>
    </row>
    <row r="113" spans="1:9" s="7" customFormat="1" x14ac:dyDescent="0.25">
      <c r="A113" s="48"/>
      <c r="B113" s="7" t="s">
        <v>10</v>
      </c>
      <c r="C113" s="9">
        <v>0.84519999999999995</v>
      </c>
      <c r="D113" s="9">
        <v>0.83550000000000002</v>
      </c>
      <c r="E113" s="9">
        <v>0.23619999999999999</v>
      </c>
      <c r="F113" s="9">
        <v>9.0999999999999998E-2</v>
      </c>
      <c r="G113" s="9">
        <v>0.17910000000000001</v>
      </c>
      <c r="H113" s="9">
        <f t="shared" si="9"/>
        <v>0.43739999999999996</v>
      </c>
      <c r="I113" s="19"/>
    </row>
    <row r="114" spans="1:9" s="2" customFormat="1" x14ac:dyDescent="0.25">
      <c r="A114" s="46" t="s">
        <v>27</v>
      </c>
      <c r="B114" s="2" t="s">
        <v>8</v>
      </c>
      <c r="C114" s="4">
        <v>0.84160000000000001</v>
      </c>
      <c r="D114" s="4">
        <v>0.85340000000000005</v>
      </c>
      <c r="E114" s="4">
        <v>0.25159999999999999</v>
      </c>
      <c r="F114" s="4">
        <v>8.5599999999999996E-2</v>
      </c>
      <c r="G114" s="4">
        <v>0.1842</v>
      </c>
      <c r="H114" s="4">
        <f t="shared" si="9"/>
        <v>0.44328000000000001</v>
      </c>
      <c r="I114" s="20">
        <f>AVERAGE(H114:H116)</f>
        <v>0.43874666666666662</v>
      </c>
    </row>
    <row r="115" spans="1:9" x14ac:dyDescent="0.25">
      <c r="A115" s="47"/>
      <c r="B115" s="1" t="s">
        <v>9</v>
      </c>
      <c r="C115" s="6">
        <v>0.83450000000000002</v>
      </c>
      <c r="D115" s="6">
        <v>0.8387</v>
      </c>
      <c r="E115" s="6">
        <v>0.24829999999999999</v>
      </c>
      <c r="F115" s="6">
        <v>8.9800000000000005E-2</v>
      </c>
      <c r="G115" s="6">
        <v>0.15670000000000001</v>
      </c>
      <c r="H115" s="6">
        <f t="shared" si="9"/>
        <v>0.43359999999999993</v>
      </c>
    </row>
    <row r="116" spans="1:9" s="7" customFormat="1" x14ac:dyDescent="0.25">
      <c r="A116" s="48"/>
      <c r="B116" s="7" t="s">
        <v>10</v>
      </c>
      <c r="C116" s="9">
        <v>0.84630000000000005</v>
      </c>
      <c r="D116" s="9">
        <v>0.83630000000000004</v>
      </c>
      <c r="E116" s="9">
        <v>0.24060000000000001</v>
      </c>
      <c r="F116" s="9">
        <v>9.1600000000000001E-2</v>
      </c>
      <c r="G116" s="9">
        <v>0.182</v>
      </c>
      <c r="H116" s="9">
        <f t="shared" si="9"/>
        <v>0.43936000000000003</v>
      </c>
      <c r="I116" s="18"/>
    </row>
    <row r="117" spans="1:9" s="2" customFormat="1" x14ac:dyDescent="0.25">
      <c r="A117" s="25"/>
      <c r="H117" s="18"/>
      <c r="I117" s="24"/>
    </row>
    <row r="119" spans="1:9" s="7" customFormat="1" x14ac:dyDescent="0.25">
      <c r="A119" s="27"/>
      <c r="H119" s="19"/>
      <c r="I119" s="19"/>
    </row>
    <row r="120" spans="1:9" s="2" customFormat="1" x14ac:dyDescent="0.25">
      <c r="A120" s="25"/>
      <c r="H120" s="24"/>
      <c r="I120" s="24"/>
    </row>
    <row r="122" spans="1:9" s="7" customFormat="1" x14ac:dyDescent="0.25">
      <c r="A122" s="27"/>
      <c r="H122" s="19"/>
      <c r="I122" s="19"/>
    </row>
    <row r="123" spans="1:9" s="2" customFormat="1" x14ac:dyDescent="0.25">
      <c r="A123" s="25"/>
      <c r="H123" s="24"/>
      <c r="I123" s="24"/>
    </row>
    <row r="125" spans="1:9" s="7" customFormat="1" x14ac:dyDescent="0.25">
      <c r="A125" s="27"/>
      <c r="H125" s="19"/>
      <c r="I125" s="19"/>
    </row>
    <row r="126" spans="1:9" s="2" customFormat="1" x14ac:dyDescent="0.25">
      <c r="A126" s="25"/>
      <c r="H126" s="24"/>
      <c r="I126" s="24"/>
    </row>
    <row r="128" spans="1:9" s="7" customFormat="1" x14ac:dyDescent="0.25">
      <c r="A128" s="27"/>
      <c r="H128" s="19"/>
      <c r="I128" s="19"/>
    </row>
    <row r="129" spans="1:9" s="2" customFormat="1" x14ac:dyDescent="0.25">
      <c r="A129" s="25"/>
      <c r="H129" s="24"/>
      <c r="I129" s="24"/>
    </row>
    <row r="131" spans="1:9" s="7" customFormat="1" x14ac:dyDescent="0.25">
      <c r="A131" s="27"/>
      <c r="H131" s="19"/>
      <c r="I131" s="19"/>
    </row>
    <row r="132" spans="1:9" s="2" customFormat="1" x14ac:dyDescent="0.25">
      <c r="A132" s="25"/>
      <c r="H132" s="24"/>
      <c r="I132" s="24"/>
    </row>
    <row r="134" spans="1:9" s="7" customFormat="1" x14ac:dyDescent="0.25">
      <c r="A134" s="27"/>
      <c r="H134" s="19"/>
      <c r="I134" s="19"/>
    </row>
    <row r="135" spans="1:9" s="2" customFormat="1" x14ac:dyDescent="0.25">
      <c r="A135" s="25"/>
      <c r="H135" s="24"/>
      <c r="I135" s="24"/>
    </row>
    <row r="137" spans="1:9" s="7" customFormat="1" x14ac:dyDescent="0.25">
      <c r="A137" s="27"/>
      <c r="H137" s="19"/>
      <c r="I137" s="19"/>
    </row>
    <row r="138" spans="1:9" s="2" customFormat="1" x14ac:dyDescent="0.25">
      <c r="A138" s="25"/>
      <c r="H138" s="24"/>
      <c r="I138" s="24"/>
    </row>
    <row r="140" spans="1:9" s="7" customFormat="1" x14ac:dyDescent="0.25">
      <c r="A140" s="27"/>
      <c r="H140" s="19"/>
      <c r="I140" s="19"/>
    </row>
  </sheetData>
  <mergeCells count="26">
    <mergeCell ref="A17:A19"/>
    <mergeCell ref="A108:A110"/>
    <mergeCell ref="A2:A4"/>
    <mergeCell ref="A5:A7"/>
    <mergeCell ref="A8:A10"/>
    <mergeCell ref="A11:A13"/>
    <mergeCell ref="A14:A16"/>
    <mergeCell ref="A29:A31"/>
    <mergeCell ref="A32:A34"/>
    <mergeCell ref="A35:A37"/>
    <mergeCell ref="A38:A40"/>
    <mergeCell ref="A41:A43"/>
    <mergeCell ref="A44:A46"/>
    <mergeCell ref="A47:A49"/>
    <mergeCell ref="A53:A55"/>
    <mergeCell ref="A56:A58"/>
    <mergeCell ref="A111:A113"/>
    <mergeCell ref="A114:A116"/>
    <mergeCell ref="A23:A25"/>
    <mergeCell ref="A26:A28"/>
    <mergeCell ref="A20:A22"/>
    <mergeCell ref="A102:A104"/>
    <mergeCell ref="A105:A107"/>
    <mergeCell ref="A59:A61"/>
    <mergeCell ref="A50:A52"/>
    <mergeCell ref="A62:A64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6342-387E-BF43-9FBD-13C80449E558}">
  <dimension ref="A1:E9"/>
  <sheetViews>
    <sheetView topLeftCell="A20" zoomScale="140" zoomScaleNormal="140" workbookViewId="0">
      <selection activeCell="I19" sqref="I19"/>
    </sheetView>
  </sheetViews>
  <sheetFormatPr baseColWidth="10" defaultRowHeight="16" x14ac:dyDescent="0.2"/>
  <cols>
    <col min="1" max="1" width="15.1640625" style="31" customWidth="1"/>
    <col min="4" max="4" width="10.83203125" style="31"/>
  </cols>
  <sheetData>
    <row r="1" spans="1:5" s="29" customFormat="1" x14ac:dyDescent="0.2">
      <c r="A1" s="30" t="s">
        <v>47</v>
      </c>
      <c r="B1" s="28" t="s">
        <v>8</v>
      </c>
      <c r="C1" s="28" t="s">
        <v>9</v>
      </c>
      <c r="D1" s="30" t="s">
        <v>10</v>
      </c>
      <c r="E1" s="28" t="s">
        <v>15</v>
      </c>
    </row>
    <row r="2" spans="1:5" s="39" customFormat="1" x14ac:dyDescent="0.2">
      <c r="A2" s="35" t="s">
        <v>46</v>
      </c>
      <c r="B2" s="36">
        <v>0.46129999999999999</v>
      </c>
      <c r="C2" s="37">
        <v>0.45400000000000001</v>
      </c>
      <c r="D2" s="38">
        <v>0.4612</v>
      </c>
      <c r="E2" s="32">
        <f>AVERAGE(B2:D2)</f>
        <v>0.45883333333333337</v>
      </c>
    </row>
    <row r="3" spans="1:5" x14ac:dyDescent="0.2">
      <c r="A3" s="31" t="s">
        <v>41</v>
      </c>
      <c r="B3" s="33">
        <v>0.44309999999999999</v>
      </c>
      <c r="C3" s="33">
        <v>0.43290000000000001</v>
      </c>
      <c r="D3" s="33">
        <v>0.43930000000000002</v>
      </c>
      <c r="E3" s="40">
        <f t="shared" ref="E3:E7" si="0">AVERAGE(B3:D3)</f>
        <v>0.4384333333333334</v>
      </c>
    </row>
    <row r="4" spans="1:5" x14ac:dyDescent="0.2">
      <c r="A4" s="31" t="s">
        <v>42</v>
      </c>
      <c r="B4" s="33">
        <v>0.4577</v>
      </c>
      <c r="C4" s="33">
        <v>0.44390000000000002</v>
      </c>
      <c r="D4" s="34">
        <v>0.44819999999999999</v>
      </c>
      <c r="E4" s="33">
        <f t="shared" si="0"/>
        <v>0.4499333333333333</v>
      </c>
    </row>
    <row r="5" spans="1:5" x14ac:dyDescent="0.2">
      <c r="A5" s="31" t="s">
        <v>43</v>
      </c>
      <c r="B5" s="33">
        <v>0.44040000000000001</v>
      </c>
      <c r="C5" s="33">
        <v>0.42709999999999998</v>
      </c>
      <c r="D5" s="34">
        <v>0.43740000000000001</v>
      </c>
      <c r="E5" s="33">
        <f t="shared" si="0"/>
        <v>0.43496666666666667</v>
      </c>
    </row>
    <row r="6" spans="1:5" x14ac:dyDescent="0.2">
      <c r="A6" s="31" t="s">
        <v>44</v>
      </c>
      <c r="B6" s="33">
        <v>0.44330000000000003</v>
      </c>
      <c r="C6" s="33">
        <v>0.43359999999999999</v>
      </c>
      <c r="D6" s="34">
        <v>0.43940000000000001</v>
      </c>
      <c r="E6" s="33">
        <f t="shared" si="0"/>
        <v>0.43876666666666669</v>
      </c>
    </row>
    <row r="7" spans="1:5" s="44" customFormat="1" x14ac:dyDescent="0.2">
      <c r="A7" s="41" t="s">
        <v>45</v>
      </c>
      <c r="B7" s="42">
        <v>0.4592</v>
      </c>
      <c r="C7" s="43">
        <v>0.44719999999999999</v>
      </c>
      <c r="D7" s="41">
        <v>0.45839999999999997</v>
      </c>
      <c r="E7" s="42">
        <f t="shared" si="0"/>
        <v>0.45493333333333336</v>
      </c>
    </row>
    <row r="9" spans="1:5" x14ac:dyDescent="0.2">
      <c r="A9"/>
      <c r="B9" s="4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Huu Tri Dung</dc:creator>
  <cp:lastModifiedBy>Vo Huu Tri Dung</cp:lastModifiedBy>
  <dcterms:created xsi:type="dcterms:W3CDTF">2026-05-04T04:33:37Z</dcterms:created>
  <dcterms:modified xsi:type="dcterms:W3CDTF">2026-07-25T12:34:05Z</dcterms:modified>
</cp:coreProperties>
</file>